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1d62d19a10ce29/Documents/Fouth Year/LaPalma/"/>
    </mc:Choice>
  </mc:AlternateContent>
  <xr:revisionPtr revIDLastSave="3781" documentId="8_{1962198F-1792-4856-A51D-ECC0D0299995}" xr6:coauthVersionLast="47" xr6:coauthVersionMax="47" xr10:uidLastSave="{FBCC4F30-99ED-494D-A0CF-8F491973FFBC}"/>
  <bookViews>
    <workbookView xWindow="-108" yWindow="-108" windowWidth="23256" windowHeight="13896" activeTab="1" xr2:uid="{F6CC72FD-3BD8-434E-8C1D-A49769A3E28C}"/>
  </bookViews>
  <sheets>
    <sheet name="LaPalmaData_Expanded_n10_Combin" sheetId="1" r:id="rId1"/>
    <sheet name="Presentation_Raw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<sst xmlns="http://schemas.openxmlformats.org/spreadsheetml/2006/main" count="219" uniqueCount="131">
  <si>
    <t>Eruption</t>
  </si>
  <si>
    <t>Site</t>
  </si>
  <si>
    <t>Easting (X)</t>
  </si>
  <si>
    <t>Northing (Y)</t>
  </si>
  <si>
    <t>Elevation (m)</t>
  </si>
  <si>
    <t>Slope Angle (Â°) (n=10)</t>
  </si>
  <si>
    <t>Slope_Mean</t>
  </si>
  <si>
    <t>Slope_SEM</t>
  </si>
  <si>
    <t>Channel Width (m) (n=10)</t>
  </si>
  <si>
    <t>Width_Mean</t>
  </si>
  <si>
    <t>Width_SEM</t>
  </si>
  <si>
    <t>Levee height (m) (n=10)</t>
  </si>
  <si>
    <t>Height_Mean</t>
  </si>
  <si>
    <t>Height_SEM</t>
  </si>
  <si>
    <t>Q (mÂ³/s)</t>
  </si>
  <si>
    <t>n (shape factor)</t>
  </si>
  <si>
    <t>Velocity (m/s)</t>
  </si>
  <si>
    <t>Viscosity (PaÂ·s)</t>
  </si>
  <si>
    <t>1949_San_Juan</t>
  </si>
  <si>
    <t>49.249, 49.497, 49.18, 49.573, 50.011, 49.132, 49.132, 50.039, 49.633, 49.014</t>
  </si>
  <si>
    <t>62.47, 62.658, 62.17, 62.324, 62.169, 63.396, 62.463, 61.941, 62.881, 61.86</t>
  </si>
  <si>
    <t>63.886, 64.401, 64.352, 63.466, 63.731, 64.052, 64.374, 63.646, 63.793, 63.333</t>
  </si>
  <si>
    <t>77.931, 78.11, 78.67, 77.672, 77.527, 77.68, 78.389, 78.095, 77.666, 78.188</t>
  </si>
  <si>
    <t>60.405, 60.534, 60.368, 59.446, 60.392, 60.435, 61.637, 60.309, 60.556, 60.388</t>
  </si>
  <si>
    <t>46.1, 46.875, 45.708, 45.939, 46.507, 45.484, 46.214, 46.753, 45.296, 46.192</t>
  </si>
  <si>
    <t>33.65, 34.229, 33.24, 34.132, 33.856, 34.061, 34.598, 33.527, 33.273, 33.205</t>
  </si>
  <si>
    <t>3167448*</t>
  </si>
  <si>
    <t>37.74, 36.983, 37.517, 38.168, 37.847, 37.117, 37.827, 37.933, 37.298, 37.817</t>
  </si>
  <si>
    <t>42.56, 42.174, 42.442, 42.317, 42.601, 43.717, 41.626, 42.903, 41.754, 42.324</t>
  </si>
  <si>
    <t>33.807, 34.24, 33.207, 33.64, 33.57, 33.48, 34.69, 34.009, 33.177, 34.266</t>
  </si>
  <si>
    <t>1971_Teneguia</t>
  </si>
  <si>
    <t>44.118, 44.366, 44.049, 44.442, 44.88, 44.001, 44.001, 44.908, 44.502, 43.883</t>
  </si>
  <si>
    <t>93.357, 93.545, 93.057, 93.211, 93.056, 94.283, 93.35, 92.828, 93.768, 92.747</t>
  </si>
  <si>
    <t>125.06, 125.575, 125.526, 124.64, 124.905, 125.226, 125.548, 124.82, 124.967, 124.507</t>
  </si>
  <si>
    <t>96.271, 96.45, 97.01, 96.012, 95.867, 96.02, 96.729, 96.435, 96.006, 96.528</t>
  </si>
  <si>
    <t>104.7, 104.829, 104.663, 103.741, 104.687, 104.73, 105.932, 104.604, 104.851, 104.683</t>
  </si>
  <si>
    <t>87.53, 88.305, 87.138, 87.369, 87.937, 86.915, 87.644, 88.184, 86.726, 87.622</t>
  </si>
  <si>
    <t>35.787, 36.366, 35.377, 36.269, 35.993, 36.198, 36.735, 35.664, 35.41, 35.342</t>
  </si>
  <si>
    <t>39.316, 38.559, 39.093, 39.744, 39.423, 38.693, 39.403, 39.509, 38.874, 39.393</t>
  </si>
  <si>
    <t>56.7, 56.314, 56.582, 56.457, 56.741, 57.857, 55.766, 57.043, 55.894, 56.464</t>
  </si>
  <si>
    <t>38.434, 38.867, 37.834, 38.267, 38.197, 38.107, 39.317, 38.636, 37.804, 38.893</t>
  </si>
  <si>
    <t>32.4, 33.121, 31.682, 32.982, 32.405, 31.909, 32.631, 32.5, 32.1, 32.435</t>
  </si>
  <si>
    <t>41.25, 41.404, 41.656, 41.565, 40.836, 40.97, 41.624, 41.555, 41.24, 41.309</t>
  </si>
  <si>
    <t>38.74, 38.237, 38.133, 39.319, 39.136, 39.052, 39.054, 38.734, 38.291, 38.778</t>
  </si>
  <si>
    <t>38.1, 38.838, 38.529, 38.02, 38.09, 37.599, 38.091, 37.956, 38.261, 37.686</t>
  </si>
  <si>
    <t>22.4, 23.495, 21.996, 21.98, 22.1, 21.338, 22.137, 22.02, 22.475, 22.571</t>
  </si>
  <si>
    <t>13.48, 13.791, 12.946, 13.409, 13.54, 13.737, 13.836, 12.918, 12.713, 14.119</t>
  </si>
  <si>
    <t>13.2, 13.065, 13.559, 13.951, 13.237, 14.014, 12.51, 12.348, 13.172, 13.392</t>
  </si>
  <si>
    <t>15.47, 14.871, 16.452, 15.488, 15.12, 15.577, 15.414, 15.36, 15.777, 15.849</t>
  </si>
  <si>
    <t>22.3, 21.977, 21.759, 23.144, 22.741, 22.296, 23.04, 22.339, 21.869, 23.062</t>
  </si>
  <si>
    <t>23.6, 23.146, 23.312, 23.978, 23.85, 23.111, 23.65, 23.976, 22.765, 23.872</t>
  </si>
  <si>
    <t>-</t>
  </si>
  <si>
    <t>13.0, 13.197, 12.79, 13.145, 14.038, 13.436, 12.837, 13.601, 12.796, 11.981</t>
  </si>
  <si>
    <t>0.01, 0.01, 0.01, 0.01, 0.01, 0.01, 0.01, 0.01, 0.01, 0.01</t>
  </si>
  <si>
    <t>Yield Strength (Pa)</t>
  </si>
  <si>
    <t>San Juan Viscosity</t>
  </si>
  <si>
    <t>Teneguia Viscosity</t>
  </si>
  <si>
    <t>San Juan Yield Strength</t>
  </si>
  <si>
    <t>Teneguia Yield Strength</t>
  </si>
  <si>
    <t>Viscosity (Pa·s)</t>
  </si>
  <si>
    <t>SJ Visc Err</t>
  </si>
  <si>
    <t>SJ YS Err</t>
  </si>
  <si>
    <t>Ten Visc Err (site)</t>
  </si>
  <si>
    <t>Ten Visc Err</t>
  </si>
  <si>
    <t>Ten YS Err (site)</t>
  </si>
  <si>
    <t>Ten YS Err</t>
  </si>
  <si>
    <t>28.86, 28.406, 28.154, 29.593, 28.747, 28.894, 28.148, 28.588, 28.915, 28.285</t>
  </si>
  <si>
    <t>24.873, 24.513, 24.643, 25.402, 25.045, 23.991, 25.035, 24.68, 24.535, 25.179</t>
  </si>
  <si>
    <t>20.859, 20.841, 21.641, 19.549, 21.27, 20.903, 20.709, 20.905, 19.865, 20.749</t>
  </si>
  <si>
    <t>18.864, 18.747, 18.156, 18.654, 18.693, 18.463, 18.783, 19.066, 19.807, 18.951</t>
  </si>
  <si>
    <t>14.898, 14.403, 14.615, 14.948, 14.646, 14.123, 14.932, 14.367, 15.135, 14.438</t>
  </si>
  <si>
    <t>14.143, 14.259, 14.29, 13.786, 15.076, 14.38, 13.547, 14.471, 13.656, 14.537</t>
  </si>
  <si>
    <t>18.105, 18.418, 17.676, 17.57, 18.346, 17.993, 18.462, 18.342, 18.069, 17.682</t>
  </si>
  <si>
    <t>15.179, 15.436, 15.437, 17.105, 15.464, 15.747, 15.656, 15.505, 15.021, 15.558</t>
  </si>
  <si>
    <t>12.168, 13.24, 12.485, 11.155, 12.261, 11.837, 12.594, 11.772, 12.111, 12.42</t>
  </si>
  <si>
    <t>13.201, 13.171, 11.58, 12.689, 13.075, 12.577, 14.017, 12.486, 12.981, 13.266</t>
  </si>
  <si>
    <t>5.58, 5.851, 5.348, 5.347, 5.701, 4.623, 4.718, 5.299, 5.074, 5.737</t>
  </si>
  <si>
    <t>3.966, 4.07, 2.986, 3.302, 4.064, 4.335, 4.052, 3.908, 3.815, 3.227</t>
  </si>
  <si>
    <t>3.166, 2.568, 3.572, 3.844, 3.13, 3.668, 3.347, 2.843, 3.347, 3.935</t>
  </si>
  <si>
    <t>3.878, 3.927, 4.362, 3.527, 3.714, 3.682, 3.146, 4.026, 4.009, 3.881</t>
  </si>
  <si>
    <t>4.123, 3.539, 4.694, 4.499, 4.519, 3.668, 4.824, 3.422, 4.416, 5.218</t>
  </si>
  <si>
    <t>4.122, 4.252, 4.513, 3.504, 3.462, 4.383, 4.27, 4.247, 4.295, 3.782</t>
  </si>
  <si>
    <t>3.721, 3.313, 3.682, 3.892, 3.859, 4.135, 3.728, 4.448, 3.589, 5.081</t>
  </si>
  <si>
    <t>3.415, 3.444, 2.844, 3.594, 3.695, 3.957, 3.942, 2.726, 2.946, 3.673</t>
  </si>
  <si>
    <t>3.665, 4.209, 3.697, 3.126, 3.307, 4.005, 3.3, 3.773, 3.688, 3.339</t>
  </si>
  <si>
    <t>2.379, 3.44, 2.895, 1.618, 2.136, 3.012, 2.025, 2.601, 2.766, 1.916</t>
  </si>
  <si>
    <t>4.136, 3.682, 3.43, 4.869, 4.023, 4.17, 3.424, 3.864, 4.191, 3.561</t>
  </si>
  <si>
    <t>9.875, 9.515, 9.645, 10.404, 10.047, 8.993, 10.037, 9.682, 9.537, 10.181</t>
  </si>
  <si>
    <t>11.807, 11.789, 12.589, 10.497, 12.218, 11.851, 11.657, 11.853, 10.813, 11.697</t>
  </si>
  <si>
    <t>9.009, 8.892, 8.301, 8.799, 8.838, 8.608, 8.928, 9.211, 9.952, 9.096</t>
  </si>
  <si>
    <t>8.1, 7.605, 7.817, 8.15, 7.848, 7.325, 8.134, 7.569, 8.337, 7.64</t>
  </si>
  <si>
    <t>9.856, 9.972, 10.003, 9.499, 10.789, 10.093, 9.26, 10.184, 9.369, 10.25</t>
  </si>
  <si>
    <t>15.105, 15.418, 14.676, 14.57, 15.346, 14.993, 15.462, 15.342, 15.069, 14.682</t>
  </si>
  <si>
    <t>11.177, 11.434, 11.435, 13.103, 11.462, 11.745, 11.654, 11.503, 11.019, 11.556</t>
  </si>
  <si>
    <t>11.176, 12.248, 11.493, 10.163, 11.269, 10.845, 11.602, 10.78, 11.119, 11.428</t>
  </si>
  <si>
    <t>8.198, 8.168, 6.577, 7.686, 8.072, 7.574, 9.014, 7.483, 7.978, 8.263</t>
  </si>
  <si>
    <t>17.093, 17.233, 16.782, 16.989, 16.846, 16.798, 17.518, 17.272, 16.747, 17.543</t>
  </si>
  <si>
    <t>24.123, 24.134, 24.464, 23.968, 24.285, 24.058, 24.171, 24.421, 23.714, 25.169</t>
  </si>
  <si>
    <t>17.102, 17.224, 16.849, 16.866, 17.218, 16.378, 16.398, 16.743, 16.995, 17.257</t>
  </si>
  <si>
    <t>5.147, 4.76, 5.159, 5.396, 5.873, 5.627, 6.224, 4.763, 5.583, 5.239</t>
  </si>
  <si>
    <t>4.157, 3.3, 4.834, 4.1, 4.776, 3.36, 3.857, 4.16, 4.18, 3.932</t>
  </si>
  <si>
    <t>7.199, 7.685, 7.522, 7.883, 6.717, 7.542, 7.728, 6.32, 6.607, 6.179</t>
  </si>
  <si>
    <t>15.102, 15.071, 15.58, 14.609, 15.354, 14.837, 14.706, 15.048, 14.584, 14.825</t>
  </si>
  <si>
    <t>20.217, 20.373, 21.756, 20.777, 20.153, 19.739, 19.414, 20.319, 19.839, 19.506</t>
  </si>
  <si>
    <t>22.061, 21.736, 21.817, 21.765, 21.629, 22.085, 21.646, 22.196, 22.036, 21.942</t>
  </si>
  <si>
    <t>16.115, 15.284, 16.082, 15.509, 15.789, 16.139, 15.685, 15.923, 16.618, 15.827</t>
  </si>
  <si>
    <t>2.31, 2.581, 2.078, 2.077, 2.431, 1.353, 1.448, 2.029, 1.804, 2.467</t>
  </si>
  <si>
    <t>3.204, 3.309, 2.224, 2.54, 3.303, 3.573, 3.29, 3.146, 3.054, 2.465</t>
  </si>
  <si>
    <t>4.309, 3.711, 4.715, 4.987, 4.273, 4.811, 4.49, 3.986, 4.49, 5.078</t>
  </si>
  <si>
    <t>2.913, 2.962, 3.397, 2.562, 2.749, 2.717, 2.181, 3.061, 3.044, 2.916</t>
  </si>
  <si>
    <t>1.544, 0.96, 2.116, 1.92, 1.94, 1.09, 2.246, 0.844, 1.838, 2.64</t>
  </si>
  <si>
    <t>4.369, 4.499, 4.76, 3.751, 3.709, 4.63, 4.517, 4.494, 4.542, 4.029</t>
  </si>
  <si>
    <t>3.018, 2.61, 2.979, 3.189, 3.156, 3.432, 3.025, 3.745, 2.886, 4.378</t>
  </si>
  <si>
    <t>1.85, 1.879, 1.279, 2.029, 2.13, 2.392, 2.377, 1.161, 1.381, 2.108</t>
  </si>
  <si>
    <t>2.234, 2.778, 2.266, 1.695, 1.876, 2.574, 1.869, 2.342, 2.257, 1.908</t>
  </si>
  <si>
    <t>1.808, 2.87, 2.324, 1.049, 1.566, 2.442, 1.455, 2.03, 2.196, 1.346</t>
  </si>
  <si>
    <t>1.704, 1.511, 1.761, 2.035, 2.497, 1.085, 2.771, 0.728, 1.628, 1.998</t>
  </si>
  <si>
    <t>1.789, 2.428, 1.493, 2.063, 1.688, 1.68, 2.338, 2.202, 2.196, 2.442</t>
  </si>
  <si>
    <t>1.011, 0.672, 1.499, 0.937, 0.598, 0.85, 1.217, 0.729, 0.6, 1.133</t>
  </si>
  <si>
    <t>1.853, 2.113, 2.619, 1.799, 2.054, 2.198, 1.652, 1.965, 1.859, 1.902</t>
  </si>
  <si>
    <t>1.821, 2.759, 2.296, 1.533, 1.372, 2.067, 1.161, 2.737, 2.411, 1.586</t>
  </si>
  <si>
    <t>1.006, 1.172, 0.632, 1.782, 1.064, 1.596, 1.04, 2.036, 1.884, 0.882</t>
  </si>
  <si>
    <t>0.723, 0.707, 0.113, 0.678, 0.113, 1.058, 0.906, 0.253, 0.466, 0.193</t>
  </si>
  <si>
    <t>0.942, 0.677, 0.654, 0.804, 0.172, 0.184, 1.625, 1.764, 0.817, 1.23</t>
  </si>
  <si>
    <t>0.605, 0.874, 0.159, 0.51, 0.167, 0.159, 1.068, 1.56, 0.159, 0.886</t>
  </si>
  <si>
    <t>1.35, 1.019, 1.635, 0.968, 0.448, 0.536, 1.374, 1.48, 0.898, 1.669</t>
  </si>
  <si>
    <t>SJ Presentation Visc</t>
  </si>
  <si>
    <t>SJ Presentation YS</t>
  </si>
  <si>
    <t>Ten Presentation Visc</t>
  </si>
  <si>
    <t>Ten Presentation YS</t>
  </si>
  <si>
    <t>Q (m³/s)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</si>
</sst>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 Juan (1949) — Apparent Viscosity at Cessation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LaPalmaData_Expanded_n10_Combin!$V$2</c:f>
              <c:strCache>
                <c:ptCount val="1"/>
                <c:pt idx="0">
                  <c:v>Viscosity (Pa·s)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 w="9525">
                <a:solidFill>
                  <a:srgbClr val="0000FF"/>
                </a:solidFill>
                <a:prstDash val="solid"/>
              </a:ln>
              <a:effectLst/>
            </c:spPr>
          </c:marker>
          <c:xVal>
            <c:numRef>
              <c:f>LaPalmaData_Expanded_n10_Combin!$U$3:$U$12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LaPalmaData_Expanded_n10_Combin!$V$3:$V$12</c:f>
              <c:numCache>
                <c:formatCode>General</c:formatCode>
                <c:ptCount val="10"/>
                <c:pt idx="0">
                  <c:v>1693246.153408</c:v>
                </c:pt>
                <c:pt idx="1">
                  <c:v>663565.15</c:v>
                </c:pt>
                <c:pt idx="2">
                  <c:v>398613.76000000001</c:v>
                </c:pt>
                <c:pt idx="3">
                  <c:v>659630.93999999994</c:v>
                </c:pt>
                <c:pt idx="4">
                  <c:v>570783.55000000005</c:v>
                </c:pt>
                <c:pt idx="5">
                  <c:v>363847.72</c:v>
                </c:pt>
                <c:pt idx="6">
                  <c:v>303593.14</c:v>
                </c:pt>
                <c:pt idx="7">
                  <c:v>191827.73</c:v>
                </c:pt>
                <c:pt idx="8">
                  <c:v>199440.48</c:v>
                </c:pt>
                <c:pt idx="9">
                  <c:v>54295.1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A-4C83-8609-4639ABCB9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531776"/>
        <c:axId val="2121530816"/>
      </c:scatterChart>
      <c:valAx>
        <c:axId val="2121531776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530816"/>
        <c:crosses val="autoZero"/>
        <c:crossBetween val="midCat"/>
      </c:valAx>
      <c:valAx>
        <c:axId val="2121530816"/>
        <c:scaling>
          <c:logBase val="10"/>
          <c:orientation val="minMax"/>
          <c:max val="10000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Viscosity (Pa·s)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53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 Juan (1949) — Apparent Viscosity at Cessation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LaPalmaData_Expanded_n10_Combin!$V$2</c:f>
              <c:strCache>
                <c:ptCount val="1"/>
                <c:pt idx="0">
                  <c:v>Viscosity (Pa·s)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 w="9525">
                <a:solidFill>
                  <a:srgbClr val="0000FF"/>
                </a:solidFill>
                <a:prstDash val="solid"/>
              </a:ln>
              <a:effectLst/>
            </c:spPr>
          </c:marker>
          <c:xVal>
            <c:numRef>
              <c:f>LaPalmaData_Expanded_n10_Combin!$U$3:$U$12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LaPalmaData_Expanded_n10_Combin!$V$3:$V$12</c:f>
              <c:numCache>
                <c:formatCode>General</c:formatCode>
                <c:ptCount val="10"/>
                <c:pt idx="0">
                  <c:v>1693246.153408</c:v>
                </c:pt>
                <c:pt idx="1">
                  <c:v>663565.15</c:v>
                </c:pt>
                <c:pt idx="2">
                  <c:v>398613.76000000001</c:v>
                </c:pt>
                <c:pt idx="3">
                  <c:v>659630.93999999994</c:v>
                </c:pt>
                <c:pt idx="4">
                  <c:v>570783.55000000005</c:v>
                </c:pt>
                <c:pt idx="5">
                  <c:v>363847.72</c:v>
                </c:pt>
                <c:pt idx="6">
                  <c:v>303593.14</c:v>
                </c:pt>
                <c:pt idx="7">
                  <c:v>191827.73</c:v>
                </c:pt>
                <c:pt idx="8">
                  <c:v>199440.48</c:v>
                </c:pt>
                <c:pt idx="9">
                  <c:v>54295.1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9-4197-9272-F1D3B570D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509312"/>
        <c:axId val="438519872"/>
      </c:scatterChart>
      <c:valAx>
        <c:axId val="438509312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19872"/>
        <c:crosses val="autoZero"/>
        <c:crossBetween val="midCat"/>
      </c:valAx>
      <c:valAx>
        <c:axId val="438519872"/>
        <c:scaling>
          <c:logBase val="10"/>
          <c:orientation val="minMax"/>
          <c:max val="10000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Viscosity (Pa·s)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0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 Juan (1949) — Yield Strength at Cessation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LaPalmaData_Expanded_n10_Combin!$V$27</c:f>
              <c:strCache>
                <c:ptCount val="1"/>
                <c:pt idx="0">
                  <c:v>Yield Strength (Pa)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 w="9525">
                <a:solidFill>
                  <a:srgbClr val="0000FF"/>
                </a:solidFill>
                <a:prstDash val="solid"/>
              </a:ln>
              <a:effectLst/>
            </c:spPr>
          </c:marker>
          <c:xVal>
            <c:numRef>
              <c:f>LaPalmaData_Expanded_n10_Combin!$U$28:$U$37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LaPalmaData_Expanded_n10_Combin!$V$28:$V$37</c:f>
              <c:numCache>
                <c:formatCode>General</c:formatCode>
                <c:ptCount val="10"/>
                <c:pt idx="0">
                  <c:v>67679.317018000002</c:v>
                </c:pt>
                <c:pt idx="1">
                  <c:v>41896.11</c:v>
                </c:pt>
                <c:pt idx="2">
                  <c:v>31331.49</c:v>
                </c:pt>
                <c:pt idx="3">
                  <c:v>32596.7</c:v>
                </c:pt>
                <c:pt idx="4">
                  <c:v>28754.09</c:v>
                </c:pt>
                <c:pt idx="5">
                  <c:v>26555.65</c:v>
                </c:pt>
                <c:pt idx="6">
                  <c:v>32402.89</c:v>
                </c:pt>
                <c:pt idx="7">
                  <c:v>24402.35</c:v>
                </c:pt>
                <c:pt idx="8">
                  <c:v>20218.52</c:v>
                </c:pt>
                <c:pt idx="9">
                  <c:v>14662.51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7-4C14-8566-1A73426D7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791616"/>
        <c:axId val="482777216"/>
      </c:scatterChart>
      <c:valAx>
        <c:axId val="482791616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77216"/>
        <c:crosses val="autoZero"/>
        <c:crossBetween val="midCat"/>
      </c:valAx>
      <c:valAx>
        <c:axId val="482777216"/>
        <c:scaling>
          <c:logBase val="10"/>
          <c:orientation val="minMax"/>
          <c:max val="1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Yield Strength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9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Teneguía (1971) — Apparent Viscosity at Cessation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LaPalmaData_Expanded_n10_Combin!$X$2</c:f>
              <c:strCache>
                <c:ptCount val="1"/>
                <c:pt idx="0">
                  <c:v>Viscosity (Pa·s)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xVal>
            <c:numRef>
              <c:f>LaPalmaData_Expanded_n10_Combin!$W$3:$W$22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LaPalmaData_Expanded_n10_Combin!$X$3:$X$22</c:f>
              <c:numCache>
                <c:formatCode>General</c:formatCode>
                <c:ptCount val="20"/>
                <c:pt idx="0">
                  <c:v>12122.58</c:v>
                </c:pt>
                <c:pt idx="1">
                  <c:v>198147.99</c:v>
                </c:pt>
                <c:pt idx="2">
                  <c:v>1044770.07</c:v>
                </c:pt>
                <c:pt idx="3">
                  <c:v>158976.35</c:v>
                </c:pt>
                <c:pt idx="4">
                  <c:v>32951.89</c:v>
                </c:pt>
                <c:pt idx="5">
                  <c:v>560469.01</c:v>
                </c:pt>
                <c:pt idx="6">
                  <c:v>145493.66</c:v>
                </c:pt>
                <c:pt idx="7">
                  <c:v>23168.52</c:v>
                </c:pt>
                <c:pt idx="8">
                  <c:v>52136.14</c:v>
                </c:pt>
                <c:pt idx="9">
                  <c:v>16804.89</c:v>
                </c:pt>
                <c:pt idx="10">
                  <c:v>24228.32</c:v>
                </c:pt>
                <c:pt idx="11">
                  <c:v>65162.63</c:v>
                </c:pt>
                <c:pt idx="12">
                  <c:v>4073.59</c:v>
                </c:pt>
                <c:pt idx="13">
                  <c:v>13099.73</c:v>
                </c:pt>
                <c:pt idx="14">
                  <c:v>5553.68</c:v>
                </c:pt>
                <c:pt idx="15">
                  <c:v>1716.34</c:v>
                </c:pt>
                <c:pt idx="16">
                  <c:v>221.37</c:v>
                </c:pt>
                <c:pt idx="17">
                  <c:v>1284.76</c:v>
                </c:pt>
                <c:pt idx="18">
                  <c:v>667.13</c:v>
                </c:pt>
                <c:pt idx="19">
                  <c:v>3255.78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3-4260-99BA-F6AC8AE03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788256"/>
        <c:axId val="482775776"/>
      </c:scatterChart>
      <c:valAx>
        <c:axId val="482788256"/>
        <c:scaling>
          <c:orientation val="minMax"/>
          <c:max val="2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75776"/>
        <c:crosses val="autoZero"/>
        <c:crossBetween val="midCat"/>
      </c:valAx>
      <c:valAx>
        <c:axId val="482775776"/>
        <c:scaling>
          <c:logBase val="10"/>
          <c:orientation val="minMax"/>
          <c:max val="10000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Viscosity (Pa·s)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8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Teneguía (1971) — Yield Strength at Cessation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LaPalmaData_Expanded_n10_Combin!$X$27</c:f>
              <c:strCache>
                <c:ptCount val="1"/>
                <c:pt idx="0">
                  <c:v>Yield Strength (Pa)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xVal>
            <c:numRef>
              <c:f>LaPalmaData_Expanded_n10_Combin!$W$28:$W$47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LaPalmaData_Expanded_n10_Combin!$X$28:$X$47</c:f>
              <c:numCache>
                <c:formatCode>General</c:formatCode>
                <c:ptCount val="20"/>
                <c:pt idx="0">
                  <c:v>3740.39</c:v>
                </c:pt>
                <c:pt idx="1">
                  <c:v>13562.19</c:v>
                </c:pt>
                <c:pt idx="2">
                  <c:v>24043.46</c:v>
                </c:pt>
                <c:pt idx="3">
                  <c:v>11762.11</c:v>
                </c:pt>
                <c:pt idx="4">
                  <c:v>6201.8</c:v>
                </c:pt>
                <c:pt idx="5">
                  <c:v>19772.55</c:v>
                </c:pt>
                <c:pt idx="6">
                  <c:v>22319.599999999999</c:v>
                </c:pt>
                <c:pt idx="7">
                  <c:v>9906.2199999999993</c:v>
                </c:pt>
                <c:pt idx="8">
                  <c:v>11227.06</c:v>
                </c:pt>
                <c:pt idx="9">
                  <c:v>6949.38</c:v>
                </c:pt>
                <c:pt idx="10">
                  <c:v>13785.2</c:v>
                </c:pt>
                <c:pt idx="11">
                  <c:v>22105.05</c:v>
                </c:pt>
                <c:pt idx="12">
                  <c:v>7120.49</c:v>
                </c:pt>
                <c:pt idx="13">
                  <c:v>4967.6899999999996</c:v>
                </c:pt>
                <c:pt idx="14">
                  <c:v>3707.52</c:v>
                </c:pt>
                <c:pt idx="15">
                  <c:v>4309.7</c:v>
                </c:pt>
                <c:pt idx="16">
                  <c:v>3565.02</c:v>
                </c:pt>
                <c:pt idx="17">
                  <c:v>8115.09</c:v>
                </c:pt>
                <c:pt idx="18">
                  <c:v>6070.53</c:v>
                </c:pt>
                <c:pt idx="19">
                  <c:v>8254.09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F-48D6-8048-0AC511F58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798816"/>
        <c:axId val="482794496"/>
      </c:scatterChart>
      <c:valAx>
        <c:axId val="482798816"/>
        <c:scaling>
          <c:orientation val="minMax"/>
          <c:max val="2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94496"/>
        <c:crosses val="autoZero"/>
        <c:crossBetween val="midCat"/>
      </c:valAx>
      <c:valAx>
        <c:axId val="482794496"/>
        <c:scaling>
          <c:logBase val="10"/>
          <c:orientation val="minMax"/>
          <c:max val="1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Yield Strength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9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 Juan (1949) — Cessation Viscosity [Presentation]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LaPalmaData_Expanded_n10_Combin!$AG$2</c:f>
              <c:strCache>
                <c:ptCount val="1"/>
                <c:pt idx="0">
                  <c:v>Viscosity (Pa·s)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 w="9525">
                <a:solidFill>
                  <a:srgbClr val="0000FF"/>
                </a:solidFill>
                <a:prstDash val="solid"/>
              </a:ln>
              <a:effectLst/>
            </c:spPr>
          </c:marker>
          <c:xVal>
            <c:numRef>
              <c:f>LaPalmaData_Expanded_n10_Combin!$AF$3:$AF$12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LaPalmaData_Expanded_n10_Combin!$AG$3:$AG$12</c:f>
              <c:numCache>
                <c:formatCode>General</c:formatCode>
                <c:ptCount val="10"/>
                <c:pt idx="0">
                  <c:v>1856.6</c:v>
                </c:pt>
                <c:pt idx="1">
                  <c:v>3512.1</c:v>
                </c:pt>
                <c:pt idx="2">
                  <c:v>20476.7</c:v>
                </c:pt>
                <c:pt idx="3">
                  <c:v>72240.2</c:v>
                </c:pt>
                <c:pt idx="4">
                  <c:v>302927.90000000002</c:v>
                </c:pt>
                <c:pt idx="5">
                  <c:v>133950.20000000001</c:v>
                </c:pt>
                <c:pt idx="6">
                  <c:v>1381458</c:v>
                </c:pt>
                <c:pt idx="7">
                  <c:v>195420.3</c:v>
                </c:pt>
                <c:pt idx="8">
                  <c:v>851164.7</c:v>
                </c:pt>
                <c:pt idx="9">
                  <c:v>29874210.5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9-4078-A5B1-1F0633BEB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221600"/>
        <c:axId val="556219200"/>
      </c:scatterChart>
      <c:valAx>
        <c:axId val="5562216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19200"/>
        <c:crosses val="autoZero"/>
        <c:crossBetween val="midCat"/>
      </c:valAx>
      <c:valAx>
        <c:axId val="556219200"/>
        <c:scaling>
          <c:logBase val="10"/>
          <c:orientation val="minMax"/>
          <c:max val="10000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Viscosity (Pa·s)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2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 Juan (1949) — Cessation Yield Strength [Presentation]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LaPalmaData_Expanded_n10_Combin!$AI$2</c:f>
              <c:strCache>
                <c:ptCount val="1"/>
                <c:pt idx="0">
                  <c:v>Yield Strength (Pa)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 w="9525">
                <a:solidFill>
                  <a:srgbClr val="0000FF"/>
                </a:solidFill>
                <a:prstDash val="solid"/>
              </a:ln>
              <a:effectLst/>
            </c:spPr>
          </c:marker>
          <c:xVal>
            <c:numRef>
              <c:f>LaPalmaData_Expanded_n10_Combin!$AH$3:$AH$12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LaPalmaData_Expanded_n10_Combin!$AI$3:$AI$12</c:f>
              <c:numCache>
                <c:formatCode>General</c:formatCode>
                <c:ptCount val="10"/>
                <c:pt idx="0">
                  <c:v>18.399999999999999</c:v>
                </c:pt>
                <c:pt idx="1">
                  <c:v>66.98</c:v>
                </c:pt>
                <c:pt idx="2">
                  <c:v>203.63</c:v>
                </c:pt>
                <c:pt idx="3">
                  <c:v>88.13</c:v>
                </c:pt>
                <c:pt idx="4">
                  <c:v>455.86</c:v>
                </c:pt>
                <c:pt idx="5">
                  <c:v>4581.5200000000004</c:v>
                </c:pt>
                <c:pt idx="6">
                  <c:v>4909.42</c:v>
                </c:pt>
                <c:pt idx="7">
                  <c:v>680.45</c:v>
                </c:pt>
                <c:pt idx="8">
                  <c:v>5104.1000000000004</c:v>
                </c:pt>
                <c:pt idx="9">
                  <c:v>41203.879999999997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6-4497-AF09-58C2BEDBF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239360"/>
        <c:axId val="556241280"/>
      </c:scatterChart>
      <c:valAx>
        <c:axId val="55623936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41280"/>
        <c:crosses val="autoZero"/>
        <c:crossBetween val="midCat"/>
      </c:valAx>
      <c:valAx>
        <c:axId val="556241280"/>
        <c:scaling>
          <c:logBase val="10"/>
          <c:orientation val="minMax"/>
          <c:max val="1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Yield Strength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3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Teneguía (1971) — Cessation Viscosity [Presentation]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LaPalmaData_Expanded_n10_Combin!$AK$2</c:f>
              <c:strCache>
                <c:ptCount val="1"/>
                <c:pt idx="0">
                  <c:v>Viscosity (Pa·s)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xVal>
            <c:numRef>
              <c:f>LaPalmaData_Expanded_n10_Combin!$AJ$3:$AJ$22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LaPalmaData_Expanded_n10_Combin!$AK$3:$AK$22</c:f>
              <c:numCache>
                <c:formatCode>General</c:formatCode>
                <c:ptCount val="20"/>
                <c:pt idx="0">
                  <c:v>1079.7</c:v>
                </c:pt>
                <c:pt idx="1">
                  <c:v>4045.8</c:v>
                </c:pt>
                <c:pt idx="2">
                  <c:v>8270.9</c:v>
                </c:pt>
                <c:pt idx="3">
                  <c:v>5686.7</c:v>
                </c:pt>
                <c:pt idx="4">
                  <c:v>3330.6</c:v>
                </c:pt>
                <c:pt idx="5">
                  <c:v>101288.9</c:v>
                </c:pt>
                <c:pt idx="6">
                  <c:v>10459.1</c:v>
                </c:pt>
                <c:pt idx="7">
                  <c:v>38139.5</c:v>
                </c:pt>
                <c:pt idx="8">
                  <c:v>116608.4</c:v>
                </c:pt>
                <c:pt idx="9">
                  <c:v>99848.8</c:v>
                </c:pt>
                <c:pt idx="10">
                  <c:v>435357.4</c:v>
                </c:pt>
                <c:pt idx="11">
                  <c:v>28450.6</c:v>
                </c:pt>
                <c:pt idx="12">
                  <c:v>3861368.4</c:v>
                </c:pt>
                <c:pt idx="13">
                  <c:v>6217266.5</c:v>
                </c:pt>
                <c:pt idx="14">
                  <c:v>7741425.9000000004</c:v>
                </c:pt>
                <c:pt idx="15">
                  <c:v>3517029.8</c:v>
                </c:pt>
                <c:pt idx="16">
                  <c:v>4103607.6</c:v>
                </c:pt>
                <c:pt idx="17">
                  <c:v>7561391.5</c:v>
                </c:pt>
                <c:pt idx="18">
                  <c:v>2945830.2</c:v>
                </c:pt>
                <c:pt idx="19">
                  <c:v>8518133.6999999993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B2-4A86-B305-ED7F07DB2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37120"/>
        <c:axId val="556132320"/>
      </c:scatterChart>
      <c:valAx>
        <c:axId val="556137120"/>
        <c:scaling>
          <c:orientation val="minMax"/>
          <c:max val="2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32320"/>
        <c:crosses val="autoZero"/>
        <c:crossBetween val="midCat"/>
      </c:valAx>
      <c:valAx>
        <c:axId val="556132320"/>
        <c:scaling>
          <c:logBase val="10"/>
          <c:orientation val="minMax"/>
          <c:max val="10000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Viscosity (Pa·s)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3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Teneguía (1971) — Cessation Yield Strength [Presentation]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LaPalmaData_Expanded_n10_Combin!$AM$2</c:f>
              <c:strCache>
                <c:ptCount val="1"/>
                <c:pt idx="0">
                  <c:v>Yield Strength (Pa)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xVal>
            <c:numRef>
              <c:f>LaPalmaData_Expanded_n10_Combin!$AL$3:$AL$22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LaPalmaData_Expanded_n10_Combin!$AM$3:$AM$22</c:f>
              <c:numCache>
                <c:formatCode>General</c:formatCode>
                <c:ptCount val="20"/>
                <c:pt idx="0">
                  <c:v>33.33</c:v>
                </c:pt>
                <c:pt idx="1">
                  <c:v>58.15</c:v>
                </c:pt>
                <c:pt idx="2">
                  <c:v>41.84</c:v>
                </c:pt>
                <c:pt idx="3">
                  <c:v>47.06</c:v>
                </c:pt>
                <c:pt idx="4">
                  <c:v>87.95</c:v>
                </c:pt>
                <c:pt idx="5">
                  <c:v>696.64</c:v>
                </c:pt>
                <c:pt idx="6">
                  <c:v>812.29</c:v>
                </c:pt>
                <c:pt idx="7">
                  <c:v>492.85</c:v>
                </c:pt>
                <c:pt idx="8">
                  <c:v>442.78</c:v>
                </c:pt>
                <c:pt idx="9">
                  <c:v>598.51</c:v>
                </c:pt>
                <c:pt idx="10">
                  <c:v>1044.3900000000001</c:v>
                </c:pt>
                <c:pt idx="11">
                  <c:v>215.3</c:v>
                </c:pt>
                <c:pt idx="12">
                  <c:v>1477.85</c:v>
                </c:pt>
                <c:pt idx="13">
                  <c:v>2116.96</c:v>
                </c:pt>
                <c:pt idx="14">
                  <c:v>1492</c:v>
                </c:pt>
                <c:pt idx="15">
                  <c:v>20846.78</c:v>
                </c:pt>
                <c:pt idx="16">
                  <c:v>52282.99</c:v>
                </c:pt>
                <c:pt idx="17">
                  <c:v>7009.6</c:v>
                </c:pt>
                <c:pt idx="18">
                  <c:v>3852.1</c:v>
                </c:pt>
                <c:pt idx="19">
                  <c:v>17658.04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0-4CF9-9C46-4353B472C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28480"/>
        <c:axId val="556128960"/>
      </c:scatterChart>
      <c:valAx>
        <c:axId val="556128480"/>
        <c:scaling>
          <c:orientation val="minMax"/>
          <c:max val="2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28960"/>
        <c:crosses val="autoZero"/>
        <c:crossBetween val="midCat"/>
      </c:valAx>
      <c:valAx>
        <c:axId val="556128960"/>
        <c:scaling>
          <c:logBase val="10"/>
          <c:orientation val="minMax"/>
          <c:max val="1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Yield Strength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2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 Juan (1949) — Apparent Viscosity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Viscosity (Pa·s)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Presentation_RawData!$B$2:$B$11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Presentation_RawData!$M$2:$M$11</c:f>
              <c:numCache>
                <c:formatCode>General</c:formatCode>
                <c:ptCount val="10"/>
                <c:pt idx="0">
                  <c:v>1856.6</c:v>
                </c:pt>
                <c:pt idx="1">
                  <c:v>3512.1</c:v>
                </c:pt>
                <c:pt idx="2">
                  <c:v>20476.7</c:v>
                </c:pt>
                <c:pt idx="3">
                  <c:v>72240.2</c:v>
                </c:pt>
                <c:pt idx="4">
                  <c:v>302927.90000000002</c:v>
                </c:pt>
                <c:pt idx="5">
                  <c:v>133950.20000000001</c:v>
                </c:pt>
                <c:pt idx="6">
                  <c:v>1381458</c:v>
                </c:pt>
                <c:pt idx="7">
                  <c:v>195420.3</c:v>
                </c:pt>
                <c:pt idx="8">
                  <c:v>851164.7</c:v>
                </c:pt>
                <c:pt idx="9">
                  <c:v>29874210.5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AC-46AA-A52C-1F4A5C458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167072"/>
        <c:axId val="537167552"/>
      </c:scatterChart>
      <c:valAx>
        <c:axId val="53716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67552"/>
        <c:crosses val="autoZero"/>
        <c:crossBetween val="midCat"/>
      </c:valAx>
      <c:valAx>
        <c:axId val="537167552"/>
        <c:scaling>
          <c:logBase val="10"/>
          <c:orientation val="minMax"/>
          <c:max val="1000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Apparent Viscosity (Pa·s)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6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 Juan (1949) — Yield Strength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Yield Strength (Pa)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Presentation_RawData!$B$2:$B$11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Presentation_RawData!$N$2:$N$11</c:f>
              <c:numCache>
                <c:formatCode>General</c:formatCode>
                <c:ptCount val="10"/>
                <c:pt idx="0">
                  <c:v>18.399999999999999</c:v>
                </c:pt>
                <c:pt idx="1">
                  <c:v>66.98</c:v>
                </c:pt>
                <c:pt idx="2">
                  <c:v>203.63</c:v>
                </c:pt>
                <c:pt idx="3">
                  <c:v>88.13</c:v>
                </c:pt>
                <c:pt idx="4">
                  <c:v>455.86</c:v>
                </c:pt>
                <c:pt idx="5">
                  <c:v>4581.5200000000004</c:v>
                </c:pt>
                <c:pt idx="6">
                  <c:v>4909.42</c:v>
                </c:pt>
                <c:pt idx="7">
                  <c:v>680.45</c:v>
                </c:pt>
                <c:pt idx="8">
                  <c:v>5104.1000000000004</c:v>
                </c:pt>
                <c:pt idx="9">
                  <c:v>41203.879999999997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3F-414B-83FF-E766157DF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866592"/>
        <c:axId val="339950544"/>
      </c:scatterChart>
      <c:valAx>
        <c:axId val="46686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50544"/>
        <c:crosses val="autoZero"/>
        <c:crossBetween val="midCat"/>
      </c:valAx>
      <c:valAx>
        <c:axId val="339950544"/>
        <c:scaling>
          <c:logBase val="10"/>
          <c:orientation val="minMax"/>
          <c:max val="100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Yield Strength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Teneguía (1971) — Apparent Viscosity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Viscosity (Pa·s)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Presentation_RawData!$B$12:$B$31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Presentation_RawData!$M$12:$M$31</c:f>
              <c:numCache>
                <c:formatCode>General</c:formatCode>
                <c:ptCount val="20"/>
                <c:pt idx="0">
                  <c:v>1079.7</c:v>
                </c:pt>
                <c:pt idx="1">
                  <c:v>4045.8</c:v>
                </c:pt>
                <c:pt idx="2">
                  <c:v>8270.9</c:v>
                </c:pt>
                <c:pt idx="3">
                  <c:v>5686.7</c:v>
                </c:pt>
                <c:pt idx="4">
                  <c:v>3330.6</c:v>
                </c:pt>
                <c:pt idx="5">
                  <c:v>101288.9</c:v>
                </c:pt>
                <c:pt idx="6">
                  <c:v>10459.1</c:v>
                </c:pt>
                <c:pt idx="7">
                  <c:v>38139.5</c:v>
                </c:pt>
                <c:pt idx="8">
                  <c:v>116608.4</c:v>
                </c:pt>
                <c:pt idx="9">
                  <c:v>99848.8</c:v>
                </c:pt>
                <c:pt idx="10">
                  <c:v>435357.4</c:v>
                </c:pt>
                <c:pt idx="11">
                  <c:v>28450.6</c:v>
                </c:pt>
                <c:pt idx="12">
                  <c:v>3861368.4</c:v>
                </c:pt>
                <c:pt idx="13">
                  <c:v>6217266.5</c:v>
                </c:pt>
                <c:pt idx="14">
                  <c:v>7741425.9000000004</c:v>
                </c:pt>
                <c:pt idx="15">
                  <c:v>3517029.8</c:v>
                </c:pt>
                <c:pt idx="16">
                  <c:v>4103607.6</c:v>
                </c:pt>
                <c:pt idx="17">
                  <c:v>7561391.5</c:v>
                </c:pt>
                <c:pt idx="18">
                  <c:v>2945830.2</c:v>
                </c:pt>
                <c:pt idx="19">
                  <c:v>8518133.6999999993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72-4603-901E-BB2128314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866592"/>
        <c:axId val="346646864"/>
      </c:scatterChart>
      <c:valAx>
        <c:axId val="46686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46864"/>
        <c:crosses val="autoZero"/>
        <c:crossBetween val="midCat"/>
      </c:valAx>
      <c:valAx>
        <c:axId val="346646864"/>
        <c:scaling>
          <c:logBase val="10"/>
          <c:orientation val="minMax"/>
          <c:max val="100000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Apparent Viscosity (Pa·s)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Teneguía (1971) — Yield Strength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Yield Strength (Pa)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Presentation_RawData!$B$12:$B$31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Presentation_RawData!$N$12:$N$31</c:f>
              <c:numCache>
                <c:formatCode>General</c:formatCode>
                <c:ptCount val="20"/>
                <c:pt idx="0">
                  <c:v>33.33</c:v>
                </c:pt>
                <c:pt idx="1">
                  <c:v>58.15</c:v>
                </c:pt>
                <c:pt idx="2">
                  <c:v>41.84</c:v>
                </c:pt>
                <c:pt idx="3">
                  <c:v>47.06</c:v>
                </c:pt>
                <c:pt idx="4">
                  <c:v>87.95</c:v>
                </c:pt>
                <c:pt idx="5">
                  <c:v>696.64</c:v>
                </c:pt>
                <c:pt idx="6">
                  <c:v>812.29</c:v>
                </c:pt>
                <c:pt idx="7">
                  <c:v>492.85</c:v>
                </c:pt>
                <c:pt idx="8">
                  <c:v>442.78</c:v>
                </c:pt>
                <c:pt idx="9">
                  <c:v>598.51</c:v>
                </c:pt>
                <c:pt idx="10">
                  <c:v>1044.3900000000001</c:v>
                </c:pt>
                <c:pt idx="11">
                  <c:v>215.3</c:v>
                </c:pt>
                <c:pt idx="12">
                  <c:v>1477.85</c:v>
                </c:pt>
                <c:pt idx="13">
                  <c:v>2116.96</c:v>
                </c:pt>
                <c:pt idx="14">
                  <c:v>1492</c:v>
                </c:pt>
                <c:pt idx="15">
                  <c:v>20846.78</c:v>
                </c:pt>
                <c:pt idx="16">
                  <c:v>52282.99</c:v>
                </c:pt>
                <c:pt idx="17">
                  <c:v>7009.6</c:v>
                </c:pt>
                <c:pt idx="18">
                  <c:v>3852.1</c:v>
                </c:pt>
                <c:pt idx="19">
                  <c:v>17658.04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69-48DA-A33E-28F5458ED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948624"/>
        <c:axId val="291705904"/>
      </c:scatterChart>
      <c:valAx>
        <c:axId val="33994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05904"/>
        <c:crosses val="autoZero"/>
        <c:crossBetween val="midCat"/>
      </c:valAx>
      <c:valAx>
        <c:axId val="291705904"/>
        <c:scaling>
          <c:logBase val="10"/>
          <c:orientation val="minMax"/>
          <c:max val="100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Yield Strength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4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182879</xdr:rowOff>
    </xdr:from>
    <xdr:to>
      <xdr:col>10</xdr:col>
      <xdr:colOff>180340</xdr:colOff>
      <xdr:row>60</xdr:row>
      <xdr:rowOff>111759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FDA858C-5B9A-15A2-8493-A3B84ECD4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182879</xdr:rowOff>
    </xdr:from>
    <xdr:to>
      <xdr:col>10</xdr:col>
      <xdr:colOff>180340</xdr:colOff>
      <xdr:row>60</xdr:row>
      <xdr:rowOff>111759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06DF614-EB69-F20D-26A9-84D98A4FD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482435</xdr:colOff>
      <xdr:row>36</xdr:row>
      <xdr:rowOff>94089</xdr:rowOff>
    </xdr:from>
    <xdr:to>
      <xdr:col>20</xdr:col>
      <xdr:colOff>379757</xdr:colOff>
      <xdr:row>60</xdr:row>
      <xdr:rowOff>22969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13E5816-95DD-FDD0-F661-925A14538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58</xdr:row>
      <xdr:rowOff>182879</xdr:rowOff>
    </xdr:from>
    <xdr:to>
      <xdr:col>10</xdr:col>
      <xdr:colOff>180340</xdr:colOff>
      <xdr:row>82</xdr:row>
      <xdr:rowOff>111759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293D875-020E-922B-E63A-9E394E6D5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577272</xdr:colOff>
      <xdr:row>60</xdr:row>
      <xdr:rowOff>52031</xdr:rowOff>
    </xdr:from>
    <xdr:to>
      <xdr:col>21</xdr:col>
      <xdr:colOff>474595</xdr:colOff>
      <xdr:row>83</xdr:row>
      <xdr:rowOff>165637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692B801-462B-1CDF-2A02-63D59B6BB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127000</xdr:colOff>
      <xdr:row>87</xdr:row>
      <xdr:rowOff>55879</xdr:rowOff>
    </xdr:from>
    <xdr:to>
      <xdr:col>14</xdr:col>
      <xdr:colOff>434340</xdr:colOff>
      <xdr:row>110</xdr:row>
      <xdr:rowOff>162559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E31F19B-9138-5D61-1F5D-2E1A7546E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388619</xdr:colOff>
      <xdr:row>91</xdr:row>
      <xdr:rowOff>30479</xdr:rowOff>
    </xdr:from>
    <xdr:to>
      <xdr:col>27</xdr:col>
      <xdr:colOff>284479</xdr:colOff>
      <xdr:row>114</xdr:row>
      <xdr:rowOff>137159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6BBB23F-5239-7C24-434F-1B2DA1242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152400</xdr:colOff>
      <xdr:row>117</xdr:row>
      <xdr:rowOff>30478</xdr:rowOff>
    </xdr:from>
    <xdr:to>
      <xdr:col>17</xdr:col>
      <xdr:colOff>53340</xdr:colOff>
      <xdr:row>140</xdr:row>
      <xdr:rowOff>137158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EA8FCFC-018D-CE49-98A8-1D8A870E1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185419</xdr:colOff>
      <xdr:row>117</xdr:row>
      <xdr:rowOff>5078</xdr:rowOff>
    </xdr:from>
    <xdr:to>
      <xdr:col>29</xdr:col>
      <xdr:colOff>81279</xdr:colOff>
      <xdr:row>140</xdr:row>
      <xdr:rowOff>111758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4A933B3-C370-9591-2E89-8AD314D41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182879</xdr:rowOff>
    </xdr:from>
    <xdr:to>
      <xdr:col>7</xdr:col>
      <xdr:colOff>312420</xdr:colOff>
      <xdr:row>54</xdr:row>
      <xdr:rowOff>40639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1752686-ED58-BDFC-EB13-B0CADD39A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31</xdr:row>
      <xdr:rowOff>182879</xdr:rowOff>
    </xdr:from>
    <xdr:to>
      <xdr:col>13</xdr:col>
      <xdr:colOff>777240</xdr:colOff>
      <xdr:row>54</xdr:row>
      <xdr:rowOff>40639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70EDB4-9867-554B-66B1-0B0A03734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182879</xdr:rowOff>
    </xdr:from>
    <xdr:to>
      <xdr:col>7</xdr:col>
      <xdr:colOff>312420</xdr:colOff>
      <xdr:row>75</xdr:row>
      <xdr:rowOff>40639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00B6057-672D-0CA1-0B85-F3253D6F7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52</xdr:row>
      <xdr:rowOff>182879</xdr:rowOff>
    </xdr:from>
    <xdr:to>
      <xdr:col>13</xdr:col>
      <xdr:colOff>777240</xdr:colOff>
      <xdr:row>75</xdr:row>
      <xdr:rowOff>40639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F78D5EC-39B5-E946-1C02-8D44BDFC1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9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3E6E60-1976-4F6A-BDF0-1E6B8A2A5B8B}">
  <we:reference id="wa200009404" version="1.0.0.5" store="en-GB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B5F3-689E-4BDB-84ED-6868F4480B39}">
  <dimension ref="A1:AM48"/>
  <sheetViews>
    <sheetView topLeftCell="A41" zoomScale="66" workbookViewId="0">
      <selection activeCell="AK2" sqref="AK2"/>
    </sheetView>
  </sheetViews>
  <sheetFormatPr defaultRowHeight="14.4" outlineLevelCol="2" x14ac:dyDescent="0.3"/>
  <cols>
    <col min="1" max="1" width="14.44140625" customWidth="1"/>
    <col min="2" max="2" width="5.109375" customWidth="1"/>
    <col min="5" max="5" width="13.44140625" customWidth="1"/>
    <col min="6" max="6" width="7.33203125" customWidth="1"/>
    <col min="21" max="23" width="8.88671875" customWidth="1" outlineLevel="2"/>
    <col min="24" max="32" width="8.88671875" outlineLevel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54</v>
      </c>
      <c r="U1" s="2" t="s">
        <v>55</v>
      </c>
      <c r="W1" s="2" t="s">
        <v>56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F1" t="s">
        <v>126</v>
      </c>
      <c r="AH1" t="s">
        <v>127</v>
      </c>
      <c r="AJ1" t="s">
        <v>128</v>
      </c>
      <c r="AL1" t="s">
        <v>129</v>
      </c>
    </row>
    <row r="2" spans="1:39" x14ac:dyDescent="0.3">
      <c r="A2" t="s">
        <v>18</v>
      </c>
      <c r="B2">
        <v>1</v>
      </c>
      <c r="C2">
        <v>219573</v>
      </c>
      <c r="D2">
        <v>3167280</v>
      </c>
      <c r="E2">
        <v>870</v>
      </c>
      <c r="F2" t="s">
        <v>66</v>
      </c>
      <c r="G2">
        <v>28.658999999999999</v>
      </c>
      <c r="H2">
        <v>0.13289999999999999</v>
      </c>
      <c r="I2" t="s">
        <v>19</v>
      </c>
      <c r="J2">
        <v>49.445999999999998</v>
      </c>
      <c r="K2">
        <v>0.1163</v>
      </c>
      <c r="L2" t="s">
        <v>76</v>
      </c>
      <c r="M2">
        <v>5.3277999999999999</v>
      </c>
      <c r="N2">
        <v>0.12559999999999999</v>
      </c>
      <c r="O2">
        <v>18.7</v>
      </c>
      <c r="P2">
        <v>3</v>
      </c>
      <c r="Q2">
        <v>7.0984336699513997E-2</v>
      </c>
      <c r="R2">
        <v>1693246.153408</v>
      </c>
      <c r="S2">
        <v>67679.317018000002</v>
      </c>
      <c r="U2" t="s">
        <v>1</v>
      </c>
      <c r="V2" t="s">
        <v>59</v>
      </c>
      <c r="W2" t="s">
        <v>1</v>
      </c>
      <c r="X2" t="s">
        <v>59</v>
      </c>
      <c r="Y2">
        <v>50940.934249999998</v>
      </c>
      <c r="Z2">
        <v>642.83243800000002</v>
      </c>
      <c r="AA2">
        <v>1</v>
      </c>
      <c r="AB2">
        <v>2637.5987970000001</v>
      </c>
      <c r="AC2">
        <v>1</v>
      </c>
      <c r="AD2">
        <v>500.98287199999999</v>
      </c>
      <c r="AF2" t="s">
        <v>1</v>
      </c>
      <c r="AG2" t="s">
        <v>59</v>
      </c>
      <c r="AH2" t="s">
        <v>1</v>
      </c>
      <c r="AI2" t="s">
        <v>54</v>
      </c>
      <c r="AJ2" t="s">
        <v>1</v>
      </c>
      <c r="AK2" t="s">
        <v>59</v>
      </c>
      <c r="AL2" t="s">
        <v>1</v>
      </c>
      <c r="AM2" t="s">
        <v>54</v>
      </c>
    </row>
    <row r="3" spans="1:39" x14ac:dyDescent="0.3">
      <c r="A3" t="s">
        <v>18</v>
      </c>
      <c r="B3">
        <v>2</v>
      </c>
      <c r="C3">
        <v>219522</v>
      </c>
      <c r="D3">
        <v>3167303</v>
      </c>
      <c r="E3">
        <v>849</v>
      </c>
      <c r="F3" t="s">
        <v>67</v>
      </c>
      <c r="G3">
        <v>24.7896</v>
      </c>
      <c r="H3">
        <v>0.12130000000000001</v>
      </c>
      <c r="I3" t="s">
        <v>20</v>
      </c>
      <c r="J3">
        <v>62.433</v>
      </c>
      <c r="K3">
        <v>0.1454</v>
      </c>
      <c r="L3" t="s">
        <v>77</v>
      </c>
      <c r="M3">
        <v>3.7725</v>
      </c>
      <c r="N3">
        <v>0.1328</v>
      </c>
      <c r="O3">
        <v>18.7</v>
      </c>
      <c r="P3">
        <v>3</v>
      </c>
      <c r="Q3">
        <v>7.9395914275636997E-2</v>
      </c>
      <c r="R3">
        <v>663565.15</v>
      </c>
      <c r="S3">
        <v>41896.11</v>
      </c>
      <c r="U3">
        <v>1</v>
      </c>
      <c r="V3">
        <v>1693246.153408</v>
      </c>
      <c r="W3">
        <v>1</v>
      </c>
      <c r="X3">
        <v>12122.58</v>
      </c>
      <c r="Y3">
        <v>302961.48825400003</v>
      </c>
      <c r="Z3">
        <v>734.13461600000005</v>
      </c>
      <c r="AA3">
        <v>2</v>
      </c>
      <c r="AB3">
        <v>30012.553585000001</v>
      </c>
      <c r="AC3">
        <v>2</v>
      </c>
      <c r="AD3">
        <v>409.78147200000001</v>
      </c>
      <c r="AF3">
        <v>1</v>
      </c>
      <c r="AG3">
        <v>1856.6</v>
      </c>
      <c r="AH3">
        <v>1</v>
      </c>
      <c r="AI3">
        <v>18.399999999999999</v>
      </c>
      <c r="AJ3">
        <v>1</v>
      </c>
      <c r="AK3">
        <v>1079.7</v>
      </c>
      <c r="AL3">
        <v>1</v>
      </c>
      <c r="AM3">
        <v>33.33</v>
      </c>
    </row>
    <row r="4" spans="1:39" x14ac:dyDescent="0.3">
      <c r="A4" t="s">
        <v>18</v>
      </c>
      <c r="B4">
        <v>3</v>
      </c>
      <c r="C4">
        <v>219470</v>
      </c>
      <c r="D4">
        <v>3167291</v>
      </c>
      <c r="E4">
        <v>841</v>
      </c>
      <c r="F4" t="s">
        <v>68</v>
      </c>
      <c r="G4">
        <v>20.729099999999999</v>
      </c>
      <c r="H4">
        <v>0.1832</v>
      </c>
      <c r="I4" t="s">
        <v>21</v>
      </c>
      <c r="J4">
        <v>63.902999999999999</v>
      </c>
      <c r="K4">
        <v>0.121</v>
      </c>
      <c r="L4" t="s">
        <v>78</v>
      </c>
      <c r="M4">
        <v>3.3420000000000001</v>
      </c>
      <c r="N4">
        <v>0.12989999999999999</v>
      </c>
      <c r="O4">
        <v>18.7</v>
      </c>
      <c r="P4">
        <v>3</v>
      </c>
      <c r="Q4">
        <v>8.7561645388390993E-2</v>
      </c>
      <c r="R4">
        <v>398613.76000000001</v>
      </c>
      <c r="S4">
        <v>31331.49</v>
      </c>
      <c r="U4">
        <v>2</v>
      </c>
      <c r="V4">
        <v>663565.15</v>
      </c>
      <c r="W4">
        <v>2</v>
      </c>
      <c r="X4">
        <v>198147.99</v>
      </c>
      <c r="Y4">
        <v>72997.042778000003</v>
      </c>
      <c r="Z4">
        <v>848.88836500000002</v>
      </c>
      <c r="AA4">
        <v>3</v>
      </c>
      <c r="AB4">
        <v>37158.939651000001</v>
      </c>
      <c r="AC4">
        <v>3</v>
      </c>
      <c r="AD4">
        <v>252.14676</v>
      </c>
      <c r="AF4">
        <v>2</v>
      </c>
      <c r="AG4">
        <v>3512.1</v>
      </c>
      <c r="AH4">
        <v>2</v>
      </c>
      <c r="AI4">
        <v>66.98</v>
      </c>
      <c r="AJ4">
        <v>2</v>
      </c>
      <c r="AK4">
        <v>4045.8</v>
      </c>
      <c r="AL4">
        <v>2</v>
      </c>
      <c r="AM4">
        <v>58.15</v>
      </c>
    </row>
    <row r="5" spans="1:39" x14ac:dyDescent="0.3">
      <c r="A5" t="s">
        <v>18</v>
      </c>
      <c r="B5">
        <v>4</v>
      </c>
      <c r="C5">
        <v>219413</v>
      </c>
      <c r="D5">
        <v>3167302</v>
      </c>
      <c r="E5">
        <v>833</v>
      </c>
      <c r="F5" t="s">
        <v>69</v>
      </c>
      <c r="G5">
        <v>18.8184</v>
      </c>
      <c r="H5">
        <v>0.1293</v>
      </c>
      <c r="I5" t="s">
        <v>22</v>
      </c>
      <c r="J5">
        <v>77.992999999999995</v>
      </c>
      <c r="K5">
        <v>0.1158</v>
      </c>
      <c r="L5" t="s">
        <v>79</v>
      </c>
      <c r="M5">
        <v>3.8151999999999999</v>
      </c>
      <c r="N5">
        <v>9.8000000000000004E-2</v>
      </c>
      <c r="O5">
        <v>18.7</v>
      </c>
      <c r="P5">
        <v>3</v>
      </c>
      <c r="Q5">
        <v>6.2844702014310999E-2</v>
      </c>
      <c r="R5">
        <v>659630.93999999994</v>
      </c>
      <c r="S5">
        <v>32596.7</v>
      </c>
      <c r="U5">
        <v>3</v>
      </c>
      <c r="V5">
        <v>398613.76000000001</v>
      </c>
      <c r="W5">
        <v>3</v>
      </c>
      <c r="X5">
        <v>1044770.07</v>
      </c>
      <c r="Y5">
        <v>59612.272684000003</v>
      </c>
      <c r="Z5">
        <v>730.078081</v>
      </c>
      <c r="AA5">
        <v>4</v>
      </c>
      <c r="AB5">
        <v>31828.013425000001</v>
      </c>
      <c r="AC5">
        <v>4</v>
      </c>
      <c r="AD5">
        <v>414.31660399999998</v>
      </c>
      <c r="AF5">
        <v>3</v>
      </c>
      <c r="AG5">
        <v>20476.7</v>
      </c>
      <c r="AH5">
        <v>3</v>
      </c>
      <c r="AI5">
        <v>203.63</v>
      </c>
      <c r="AJ5">
        <v>3</v>
      </c>
      <c r="AK5">
        <v>8270.9</v>
      </c>
      <c r="AL5">
        <v>3</v>
      </c>
      <c r="AM5">
        <v>41.84</v>
      </c>
    </row>
    <row r="6" spans="1:39" x14ac:dyDescent="0.3">
      <c r="A6" t="s">
        <v>18</v>
      </c>
      <c r="B6">
        <v>5</v>
      </c>
      <c r="C6">
        <v>219298</v>
      </c>
      <c r="D6">
        <v>3167348</v>
      </c>
      <c r="E6">
        <v>804</v>
      </c>
      <c r="F6" t="s">
        <v>70</v>
      </c>
      <c r="G6">
        <v>14.650499999999999</v>
      </c>
      <c r="H6">
        <v>9.64E-2</v>
      </c>
      <c r="I6" t="s">
        <v>23</v>
      </c>
      <c r="J6">
        <v>60.447000000000003</v>
      </c>
      <c r="K6">
        <v>0.16569999999999999</v>
      </c>
      <c r="L6" t="s">
        <v>80</v>
      </c>
      <c r="M6">
        <v>4.2922000000000002</v>
      </c>
      <c r="N6">
        <v>0.17760000000000001</v>
      </c>
      <c r="O6">
        <v>18.7</v>
      </c>
      <c r="P6">
        <v>3</v>
      </c>
      <c r="Q6">
        <v>7.2075374017983002E-2</v>
      </c>
      <c r="R6">
        <v>570783.55000000005</v>
      </c>
      <c r="S6">
        <v>28754.09</v>
      </c>
      <c r="U6">
        <v>4</v>
      </c>
      <c r="V6">
        <v>659630.93999999994</v>
      </c>
      <c r="W6">
        <v>4</v>
      </c>
      <c r="X6">
        <v>158976.35</v>
      </c>
      <c r="Y6">
        <v>75404.551454999993</v>
      </c>
      <c r="Z6">
        <v>1371.7143940000001</v>
      </c>
      <c r="AA6">
        <v>5</v>
      </c>
      <c r="AB6">
        <v>70944.538335000005</v>
      </c>
      <c r="AC6">
        <v>5</v>
      </c>
      <c r="AD6">
        <v>1276.1907409999999</v>
      </c>
      <c r="AF6">
        <v>4</v>
      </c>
      <c r="AG6">
        <v>72240.2</v>
      </c>
      <c r="AH6">
        <v>4</v>
      </c>
      <c r="AI6">
        <v>88.13</v>
      </c>
      <c r="AJ6">
        <v>4</v>
      </c>
      <c r="AK6">
        <v>5686.7</v>
      </c>
      <c r="AL6">
        <v>4</v>
      </c>
      <c r="AM6">
        <v>47.06</v>
      </c>
    </row>
    <row r="7" spans="1:39" x14ac:dyDescent="0.3">
      <c r="A7" t="s">
        <v>18</v>
      </c>
      <c r="B7">
        <v>6</v>
      </c>
      <c r="C7">
        <v>219180</v>
      </c>
      <c r="D7">
        <v>3167431</v>
      </c>
      <c r="E7">
        <v>776</v>
      </c>
      <c r="F7" t="s">
        <v>71</v>
      </c>
      <c r="G7">
        <v>14.214499999999999</v>
      </c>
      <c r="H7">
        <v>0.1376</v>
      </c>
      <c r="I7" t="s">
        <v>24</v>
      </c>
      <c r="J7">
        <v>46.106999999999999</v>
      </c>
      <c r="K7">
        <v>0.16389999999999999</v>
      </c>
      <c r="L7" t="s">
        <v>81</v>
      </c>
      <c r="M7">
        <v>4.0830000000000002</v>
      </c>
      <c r="N7">
        <v>0.1106</v>
      </c>
      <c r="O7">
        <v>18.7</v>
      </c>
      <c r="P7">
        <v>3</v>
      </c>
      <c r="Q7">
        <v>9.9333413830582001E-2</v>
      </c>
      <c r="R7">
        <v>363847.72</v>
      </c>
      <c r="S7">
        <v>26555.65</v>
      </c>
      <c r="U7">
        <v>5</v>
      </c>
      <c r="V7">
        <v>570783.55000000005</v>
      </c>
      <c r="W7">
        <v>5</v>
      </c>
      <c r="X7">
        <v>32951.89</v>
      </c>
      <c r="Y7">
        <v>56515.283110999997</v>
      </c>
      <c r="Z7">
        <v>629.04961800000001</v>
      </c>
      <c r="AA7">
        <v>6</v>
      </c>
      <c r="AB7">
        <v>17034.87241</v>
      </c>
      <c r="AC7">
        <v>6</v>
      </c>
      <c r="AD7">
        <v>247.682748</v>
      </c>
      <c r="AF7">
        <v>5</v>
      </c>
      <c r="AG7">
        <v>302927.90000000002</v>
      </c>
      <c r="AH7">
        <v>5</v>
      </c>
      <c r="AI7">
        <v>455.86</v>
      </c>
      <c r="AJ7">
        <v>5</v>
      </c>
      <c r="AK7">
        <v>3330.6</v>
      </c>
      <c r="AL7">
        <v>5</v>
      </c>
      <c r="AM7">
        <v>87.95</v>
      </c>
    </row>
    <row r="8" spans="1:39" x14ac:dyDescent="0.3">
      <c r="A8" t="s">
        <v>18</v>
      </c>
      <c r="B8">
        <v>7</v>
      </c>
      <c r="C8">
        <v>219140</v>
      </c>
      <c r="D8">
        <v>3167416</v>
      </c>
      <c r="E8">
        <v>769</v>
      </c>
      <c r="F8" t="s">
        <v>72</v>
      </c>
      <c r="G8">
        <v>18.066299999999998</v>
      </c>
      <c r="H8">
        <v>9.9400000000000002E-2</v>
      </c>
      <c r="I8" t="s">
        <v>25</v>
      </c>
      <c r="J8">
        <v>33.777000000000001</v>
      </c>
      <c r="K8">
        <v>0.15049999999999999</v>
      </c>
      <c r="L8" t="s">
        <v>82</v>
      </c>
      <c r="M8">
        <v>3.9447999999999999</v>
      </c>
      <c r="N8">
        <v>0.15110000000000001</v>
      </c>
      <c r="O8">
        <v>18.7</v>
      </c>
      <c r="P8">
        <v>3</v>
      </c>
      <c r="Q8">
        <v>0.14034454703375701</v>
      </c>
      <c r="R8">
        <v>303593.14</v>
      </c>
      <c r="S8">
        <v>32402.89</v>
      </c>
      <c r="U8">
        <v>6</v>
      </c>
      <c r="V8">
        <v>363847.72</v>
      </c>
      <c r="W8">
        <v>6</v>
      </c>
      <c r="X8">
        <v>560469.01</v>
      </c>
      <c r="Y8">
        <v>1048756.2330980001</v>
      </c>
      <c r="Z8">
        <v>1219.890551</v>
      </c>
      <c r="AA8">
        <v>7</v>
      </c>
      <c r="AB8">
        <v>33391.215808000001</v>
      </c>
      <c r="AC8">
        <v>7</v>
      </c>
      <c r="AD8">
        <v>586.03680699999995</v>
      </c>
      <c r="AF8">
        <v>6</v>
      </c>
      <c r="AG8">
        <v>133950.20000000001</v>
      </c>
      <c r="AH8">
        <v>6</v>
      </c>
      <c r="AI8">
        <v>4581.5200000000004</v>
      </c>
      <c r="AJ8">
        <v>6</v>
      </c>
      <c r="AK8">
        <v>101288.9</v>
      </c>
      <c r="AL8">
        <v>6</v>
      </c>
      <c r="AM8">
        <v>696.64</v>
      </c>
    </row>
    <row r="9" spans="1:39" x14ac:dyDescent="0.3">
      <c r="A9" t="s">
        <v>18</v>
      </c>
      <c r="B9">
        <v>8</v>
      </c>
      <c r="C9">
        <v>219079</v>
      </c>
      <c r="D9" t="s">
        <v>26</v>
      </c>
      <c r="E9">
        <v>761</v>
      </c>
      <c r="F9" t="s">
        <v>73</v>
      </c>
      <c r="G9">
        <v>15.610799999999999</v>
      </c>
      <c r="H9">
        <v>0.16980000000000001</v>
      </c>
      <c r="I9" t="s">
        <v>27</v>
      </c>
      <c r="J9">
        <v>37.625</v>
      </c>
      <c r="K9">
        <v>0.121</v>
      </c>
      <c r="L9" t="s">
        <v>83</v>
      </c>
      <c r="M9">
        <v>3.4236</v>
      </c>
      <c r="N9">
        <v>0.13300000000000001</v>
      </c>
      <c r="O9">
        <v>18.7</v>
      </c>
      <c r="P9">
        <v>3</v>
      </c>
      <c r="Q9">
        <v>0.145171739332109</v>
      </c>
      <c r="R9">
        <v>191827.73</v>
      </c>
      <c r="S9">
        <v>24402.35</v>
      </c>
      <c r="U9">
        <v>7</v>
      </c>
      <c r="V9">
        <v>303593.14</v>
      </c>
      <c r="W9">
        <v>7</v>
      </c>
      <c r="X9">
        <v>145493.66</v>
      </c>
      <c r="Y9">
        <v>92038.519998000003</v>
      </c>
      <c r="Z9">
        <v>914.91253800000004</v>
      </c>
      <c r="AA9">
        <v>8</v>
      </c>
      <c r="AB9">
        <v>64491.917750000001</v>
      </c>
      <c r="AC9">
        <v>8</v>
      </c>
      <c r="AD9">
        <v>99.798294999999996</v>
      </c>
      <c r="AF9">
        <v>7</v>
      </c>
      <c r="AG9">
        <v>1381458</v>
      </c>
      <c r="AH9">
        <v>7</v>
      </c>
      <c r="AI9">
        <v>4909.42</v>
      </c>
      <c r="AJ9">
        <v>7</v>
      </c>
      <c r="AK9">
        <v>10459.1</v>
      </c>
      <c r="AL9">
        <v>7</v>
      </c>
      <c r="AM9">
        <v>812.29</v>
      </c>
    </row>
    <row r="10" spans="1:39" x14ac:dyDescent="0.3">
      <c r="A10" t="s">
        <v>18</v>
      </c>
      <c r="B10">
        <v>9</v>
      </c>
      <c r="C10">
        <v>218994</v>
      </c>
      <c r="D10">
        <v>3167418</v>
      </c>
      <c r="E10">
        <v>738</v>
      </c>
      <c r="F10" t="s">
        <v>74</v>
      </c>
      <c r="G10">
        <v>12.2043</v>
      </c>
      <c r="H10">
        <v>0.16689999999999999</v>
      </c>
      <c r="I10" t="s">
        <v>28</v>
      </c>
      <c r="J10">
        <v>42.442</v>
      </c>
      <c r="K10">
        <v>0.18609999999999999</v>
      </c>
      <c r="L10" t="s">
        <v>84</v>
      </c>
      <c r="M10">
        <v>3.6109</v>
      </c>
      <c r="N10">
        <v>0.1026</v>
      </c>
      <c r="O10">
        <v>18.7</v>
      </c>
      <c r="P10">
        <v>3</v>
      </c>
      <c r="Q10">
        <v>0.12201979871329501</v>
      </c>
      <c r="R10">
        <v>199440.48</v>
      </c>
      <c r="S10">
        <v>20218.52</v>
      </c>
      <c r="U10">
        <v>8</v>
      </c>
      <c r="V10">
        <v>191827.73</v>
      </c>
      <c r="W10">
        <v>8</v>
      </c>
      <c r="X10">
        <v>23168.52</v>
      </c>
      <c r="Y10">
        <v>47143.434229999999</v>
      </c>
      <c r="Z10">
        <v>1022.3955120000001</v>
      </c>
      <c r="AA10">
        <v>9</v>
      </c>
      <c r="AB10">
        <v>37848.236964999996</v>
      </c>
      <c r="AC10">
        <v>9</v>
      </c>
      <c r="AD10">
        <v>341.27178700000002</v>
      </c>
      <c r="AF10">
        <v>8</v>
      </c>
      <c r="AG10">
        <v>195420.3</v>
      </c>
      <c r="AH10">
        <v>8</v>
      </c>
      <c r="AI10">
        <v>680.45</v>
      </c>
      <c r="AJ10">
        <v>8</v>
      </c>
      <c r="AK10">
        <v>38139.5</v>
      </c>
      <c r="AL10">
        <v>8</v>
      </c>
      <c r="AM10">
        <v>492.85</v>
      </c>
    </row>
    <row r="11" spans="1:39" x14ac:dyDescent="0.3">
      <c r="A11" t="s">
        <v>18</v>
      </c>
      <c r="B11">
        <v>10</v>
      </c>
      <c r="C11">
        <v>218868</v>
      </c>
      <c r="D11">
        <v>3167461</v>
      </c>
      <c r="E11">
        <v>712</v>
      </c>
      <c r="F11" t="s">
        <v>75</v>
      </c>
      <c r="G11">
        <v>12.904299999999999</v>
      </c>
      <c r="H11">
        <v>0.19089999999999999</v>
      </c>
      <c r="I11" t="s">
        <v>29</v>
      </c>
      <c r="J11">
        <v>33.808999999999997</v>
      </c>
      <c r="K11">
        <v>0.1552</v>
      </c>
      <c r="L11" t="s">
        <v>85</v>
      </c>
      <c r="M11">
        <v>2.4788000000000001</v>
      </c>
      <c r="N11">
        <v>0.1694</v>
      </c>
      <c r="O11">
        <v>18.7</v>
      </c>
      <c r="P11">
        <v>3</v>
      </c>
      <c r="Q11">
        <v>0.22313504954621899</v>
      </c>
      <c r="R11">
        <v>54295.1</v>
      </c>
      <c r="S11">
        <v>14662.51</v>
      </c>
      <c r="U11">
        <v>9</v>
      </c>
      <c r="V11">
        <v>199440.48</v>
      </c>
      <c r="W11">
        <v>9</v>
      </c>
      <c r="X11">
        <v>52136.14</v>
      </c>
      <c r="Y11">
        <v>237855.627717</v>
      </c>
      <c r="Z11">
        <v>6584.097949</v>
      </c>
      <c r="AA11">
        <v>10</v>
      </c>
      <c r="AB11">
        <v>72624.192704999994</v>
      </c>
      <c r="AC11">
        <v>10</v>
      </c>
      <c r="AD11">
        <v>1078.435078</v>
      </c>
      <c r="AF11">
        <v>9</v>
      </c>
      <c r="AG11">
        <v>851164.7</v>
      </c>
      <c r="AH11">
        <v>9</v>
      </c>
      <c r="AI11">
        <v>5104.1000000000004</v>
      </c>
      <c r="AJ11">
        <v>9</v>
      </c>
      <c r="AK11">
        <v>116608.4</v>
      </c>
      <c r="AL11">
        <v>9</v>
      </c>
      <c r="AM11">
        <v>442.78</v>
      </c>
    </row>
    <row r="12" spans="1:39" x14ac:dyDescent="0.3">
      <c r="U12">
        <v>10</v>
      </c>
      <c r="V12">
        <v>54295.1</v>
      </c>
      <c r="W12">
        <v>10</v>
      </c>
      <c r="X12">
        <v>16804.89</v>
      </c>
      <c r="AA12">
        <v>11</v>
      </c>
      <c r="AB12">
        <v>112622.98783</v>
      </c>
      <c r="AC12">
        <v>11</v>
      </c>
      <c r="AD12">
        <v>950.88947700000006</v>
      </c>
      <c r="AF12">
        <v>10</v>
      </c>
      <c r="AG12">
        <v>29874210.5</v>
      </c>
      <c r="AH12">
        <v>10</v>
      </c>
      <c r="AI12">
        <v>41203.879999999997</v>
      </c>
      <c r="AJ12">
        <v>10</v>
      </c>
      <c r="AK12">
        <v>99848.8</v>
      </c>
      <c r="AL12">
        <v>10</v>
      </c>
      <c r="AM12">
        <v>598.51</v>
      </c>
    </row>
    <row r="13" spans="1:39" x14ac:dyDescent="0.3">
      <c r="W13">
        <v>11</v>
      </c>
      <c r="X13">
        <v>24228.32</v>
      </c>
      <c r="AA13">
        <v>12</v>
      </c>
      <c r="AB13">
        <v>68593.270342000003</v>
      </c>
      <c r="AC13">
        <v>12</v>
      </c>
      <c r="AD13">
        <v>385.107551</v>
      </c>
      <c r="AJ13">
        <v>11</v>
      </c>
      <c r="AK13">
        <v>435357.4</v>
      </c>
      <c r="AL13">
        <v>11</v>
      </c>
      <c r="AM13">
        <v>1044.3900000000001</v>
      </c>
    </row>
    <row r="14" spans="1:39" x14ac:dyDescent="0.3">
      <c r="W14">
        <v>12</v>
      </c>
      <c r="X14">
        <v>65162.63</v>
      </c>
      <c r="AA14">
        <v>13</v>
      </c>
      <c r="AB14">
        <v>141420.52982600001</v>
      </c>
      <c r="AC14">
        <v>13</v>
      </c>
      <c r="AD14">
        <v>895.38809700000002</v>
      </c>
      <c r="AJ14">
        <v>12</v>
      </c>
      <c r="AK14">
        <v>28450.6</v>
      </c>
      <c r="AL14">
        <v>12</v>
      </c>
      <c r="AM14">
        <v>215.3</v>
      </c>
    </row>
    <row r="15" spans="1:39" x14ac:dyDescent="0.3">
      <c r="A15" t="s">
        <v>30</v>
      </c>
      <c r="B15">
        <v>1</v>
      </c>
      <c r="C15">
        <v>220972</v>
      </c>
      <c r="D15">
        <v>3153192</v>
      </c>
      <c r="E15">
        <v>352</v>
      </c>
      <c r="F15" t="s">
        <v>86</v>
      </c>
      <c r="G15">
        <v>3.9350000000000001</v>
      </c>
      <c r="H15">
        <v>0.13289999999999999</v>
      </c>
      <c r="I15" t="s">
        <v>31</v>
      </c>
      <c r="J15">
        <v>44.314999999999998</v>
      </c>
      <c r="K15">
        <v>0.1163</v>
      </c>
      <c r="L15" t="s">
        <v>106</v>
      </c>
      <c r="M15">
        <v>2.0577999999999999</v>
      </c>
      <c r="N15">
        <v>0.12559999999999999</v>
      </c>
      <c r="O15">
        <v>19.3</v>
      </c>
      <c r="P15">
        <v>3</v>
      </c>
      <c r="Q15" s="1">
        <v>0.211642748312898</v>
      </c>
      <c r="R15" s="1">
        <v>12122.58</v>
      </c>
      <c r="S15">
        <v>3740.39</v>
      </c>
      <c r="W15">
        <v>13</v>
      </c>
      <c r="X15">
        <v>4073.59</v>
      </c>
      <c r="AA15">
        <v>14</v>
      </c>
      <c r="AB15">
        <v>38696.416646999998</v>
      </c>
      <c r="AC15">
        <v>14</v>
      </c>
      <c r="AD15">
        <v>487.83116200000001</v>
      </c>
      <c r="AJ15">
        <v>13</v>
      </c>
      <c r="AK15">
        <v>3861368.4</v>
      </c>
      <c r="AL15">
        <v>13</v>
      </c>
      <c r="AM15">
        <v>1477.85</v>
      </c>
    </row>
    <row r="16" spans="1:39" x14ac:dyDescent="0.3">
      <c r="A16" t="s">
        <v>30</v>
      </c>
      <c r="B16">
        <v>2</v>
      </c>
      <c r="C16">
        <v>221081</v>
      </c>
      <c r="D16">
        <v>3153186</v>
      </c>
      <c r="E16">
        <v>355</v>
      </c>
      <c r="F16" t="s">
        <v>87</v>
      </c>
      <c r="G16">
        <v>9.7916000000000007</v>
      </c>
      <c r="H16">
        <v>0.12130000000000001</v>
      </c>
      <c r="I16" t="s">
        <v>32</v>
      </c>
      <c r="J16">
        <v>93.32</v>
      </c>
      <c r="K16">
        <v>0.1454</v>
      </c>
      <c r="L16" t="s">
        <v>107</v>
      </c>
      <c r="M16">
        <v>3.0108000000000001</v>
      </c>
      <c r="N16">
        <v>0.1328</v>
      </c>
      <c r="O16">
        <v>19.3</v>
      </c>
      <c r="P16">
        <v>3</v>
      </c>
      <c r="Q16">
        <v>6.8691131700132996E-2</v>
      </c>
      <c r="R16" s="1">
        <v>198147.99</v>
      </c>
      <c r="S16">
        <v>13562.19</v>
      </c>
      <c r="W16">
        <v>14</v>
      </c>
      <c r="X16">
        <v>13099.73</v>
      </c>
      <c r="AA16">
        <v>15</v>
      </c>
      <c r="AB16">
        <v>94391.815740999999</v>
      </c>
      <c r="AC16">
        <v>15</v>
      </c>
      <c r="AD16">
        <v>1163.396393</v>
      </c>
      <c r="AJ16">
        <v>14</v>
      </c>
      <c r="AK16">
        <v>6217266.5</v>
      </c>
      <c r="AL16">
        <v>14</v>
      </c>
      <c r="AM16">
        <v>2116.96</v>
      </c>
    </row>
    <row r="17" spans="1:39" x14ac:dyDescent="0.3">
      <c r="A17" t="s">
        <v>30</v>
      </c>
      <c r="B17">
        <v>3</v>
      </c>
      <c r="C17">
        <v>221142</v>
      </c>
      <c r="D17">
        <v>3153137</v>
      </c>
      <c r="E17">
        <v>357</v>
      </c>
      <c r="F17" t="s">
        <v>88</v>
      </c>
      <c r="G17">
        <v>11.677099999999999</v>
      </c>
      <c r="H17">
        <v>0.1832</v>
      </c>
      <c r="I17" t="s">
        <v>33</v>
      </c>
      <c r="J17">
        <v>125.077</v>
      </c>
      <c r="K17">
        <v>0.121</v>
      </c>
      <c r="L17" t="s">
        <v>108</v>
      </c>
      <c r="M17">
        <v>4.4850000000000003</v>
      </c>
      <c r="N17">
        <v>0.12989999999999999</v>
      </c>
      <c r="O17">
        <v>19.3</v>
      </c>
      <c r="P17">
        <v>3</v>
      </c>
      <c r="Q17">
        <v>3.4404670713922003E-2</v>
      </c>
      <c r="R17" s="1">
        <v>1044770.07</v>
      </c>
      <c r="S17">
        <v>24043.46</v>
      </c>
      <c r="W17">
        <v>15</v>
      </c>
      <c r="X17">
        <v>5553.68</v>
      </c>
      <c r="AA17">
        <v>16</v>
      </c>
      <c r="AB17">
        <v>6943.1612889999997</v>
      </c>
      <c r="AC17">
        <v>16</v>
      </c>
      <c r="AD17">
        <v>1174.7623060000001</v>
      </c>
      <c r="AJ17">
        <v>15</v>
      </c>
      <c r="AK17">
        <v>7741425.9000000004</v>
      </c>
      <c r="AL17">
        <v>15</v>
      </c>
      <c r="AM17">
        <v>1492</v>
      </c>
    </row>
    <row r="18" spans="1:39" x14ac:dyDescent="0.3">
      <c r="A18" t="s">
        <v>30</v>
      </c>
      <c r="B18">
        <v>4</v>
      </c>
      <c r="C18">
        <v>221177</v>
      </c>
      <c r="D18">
        <v>3153043</v>
      </c>
      <c r="E18">
        <v>335</v>
      </c>
      <c r="F18" t="s">
        <v>89</v>
      </c>
      <c r="G18">
        <v>8.9634</v>
      </c>
      <c r="H18">
        <v>0.1293</v>
      </c>
      <c r="I18" t="s">
        <v>34</v>
      </c>
      <c r="J18">
        <v>96.332999999999998</v>
      </c>
      <c r="K18">
        <v>0.1158</v>
      </c>
      <c r="L18" t="s">
        <v>109</v>
      </c>
      <c r="M18">
        <v>2.8502000000000001</v>
      </c>
      <c r="N18">
        <v>9.8000000000000004E-2</v>
      </c>
      <c r="O18">
        <v>19.3</v>
      </c>
      <c r="P18">
        <v>3</v>
      </c>
      <c r="Q18">
        <v>7.0292159849298E-2</v>
      </c>
      <c r="R18" s="1">
        <v>158976.35</v>
      </c>
      <c r="S18">
        <v>11762.11</v>
      </c>
      <c r="W18">
        <v>16</v>
      </c>
      <c r="X18">
        <v>1716.34</v>
      </c>
      <c r="AA18">
        <v>17</v>
      </c>
      <c r="AB18">
        <v>265705.56787199999</v>
      </c>
      <c r="AC18">
        <v>17</v>
      </c>
      <c r="AD18">
        <v>1744.5741459999999</v>
      </c>
      <c r="AJ18">
        <v>16</v>
      </c>
      <c r="AK18">
        <v>3517029.8</v>
      </c>
      <c r="AL18">
        <v>16</v>
      </c>
      <c r="AM18">
        <v>20846.78</v>
      </c>
    </row>
    <row r="19" spans="1:39" x14ac:dyDescent="0.3">
      <c r="A19" t="s">
        <v>30</v>
      </c>
      <c r="B19">
        <v>5</v>
      </c>
      <c r="C19">
        <v>221238</v>
      </c>
      <c r="D19">
        <v>3152894</v>
      </c>
      <c r="E19">
        <v>332</v>
      </c>
      <c r="F19" t="s">
        <v>90</v>
      </c>
      <c r="G19">
        <v>7.8525</v>
      </c>
      <c r="H19">
        <v>9.64E-2</v>
      </c>
      <c r="I19" t="s">
        <v>35</v>
      </c>
      <c r="J19">
        <v>104.742</v>
      </c>
      <c r="K19">
        <v>0.16569999999999999</v>
      </c>
      <c r="L19" t="s">
        <v>110</v>
      </c>
      <c r="M19">
        <v>1.7138</v>
      </c>
      <c r="N19">
        <v>0.17760000000000001</v>
      </c>
      <c r="O19">
        <v>19.3</v>
      </c>
      <c r="P19">
        <v>3</v>
      </c>
      <c r="Q19" s="1">
        <v>0.10751679458569199</v>
      </c>
      <c r="R19" s="1">
        <v>32951.89</v>
      </c>
      <c r="S19">
        <v>6201.8</v>
      </c>
      <c r="W19">
        <v>17</v>
      </c>
      <c r="X19">
        <v>221.37</v>
      </c>
      <c r="AA19">
        <v>18</v>
      </c>
      <c r="AB19">
        <v>218697.70157</v>
      </c>
      <c r="AC19">
        <v>18</v>
      </c>
      <c r="AD19">
        <v>1805.982808</v>
      </c>
      <c r="AJ19">
        <v>17</v>
      </c>
      <c r="AK19">
        <v>4103607.6</v>
      </c>
      <c r="AL19">
        <v>17</v>
      </c>
      <c r="AM19">
        <v>52282.99</v>
      </c>
    </row>
    <row r="20" spans="1:39" x14ac:dyDescent="0.3">
      <c r="A20" t="s">
        <v>30</v>
      </c>
      <c r="B20">
        <v>6</v>
      </c>
      <c r="C20">
        <v>221262</v>
      </c>
      <c r="D20">
        <v>3152836</v>
      </c>
      <c r="E20">
        <v>323</v>
      </c>
      <c r="F20" t="s">
        <v>91</v>
      </c>
      <c r="G20">
        <v>9.9275000000000002</v>
      </c>
      <c r="H20">
        <v>0.1376</v>
      </c>
      <c r="I20" t="s">
        <v>36</v>
      </c>
      <c r="J20">
        <v>87.537000000000006</v>
      </c>
      <c r="K20">
        <v>0.16400000000000001</v>
      </c>
      <c r="L20" t="s">
        <v>111</v>
      </c>
      <c r="M20">
        <v>4.33</v>
      </c>
      <c r="N20">
        <v>0.1106</v>
      </c>
      <c r="O20">
        <v>19.3</v>
      </c>
      <c r="P20">
        <v>3</v>
      </c>
      <c r="Q20">
        <v>5.0918752376592998E-2</v>
      </c>
      <c r="R20" s="1">
        <v>560469.01</v>
      </c>
      <c r="S20">
        <v>19772.55</v>
      </c>
      <c r="W20">
        <v>18</v>
      </c>
      <c r="X20">
        <v>1284.76</v>
      </c>
      <c r="AA20">
        <v>19</v>
      </c>
      <c r="AB20">
        <v>250023.91232900001</v>
      </c>
      <c r="AC20">
        <v>19</v>
      </c>
      <c r="AD20">
        <v>3461.287049</v>
      </c>
      <c r="AJ20">
        <v>18</v>
      </c>
      <c r="AK20">
        <v>7561391.5</v>
      </c>
      <c r="AL20">
        <v>18</v>
      </c>
      <c r="AM20">
        <v>7009.6</v>
      </c>
    </row>
    <row r="21" spans="1:39" x14ac:dyDescent="0.3">
      <c r="A21" t="s">
        <v>30</v>
      </c>
      <c r="B21">
        <v>7</v>
      </c>
      <c r="C21">
        <v>221277</v>
      </c>
      <c r="D21">
        <v>3152757</v>
      </c>
      <c r="E21">
        <v>313</v>
      </c>
      <c r="F21" t="s">
        <v>92</v>
      </c>
      <c r="G21">
        <v>15.0663</v>
      </c>
      <c r="H21">
        <v>9.9400000000000002E-2</v>
      </c>
      <c r="I21" t="s">
        <v>37</v>
      </c>
      <c r="J21">
        <v>35.914000000000001</v>
      </c>
      <c r="K21">
        <v>0.15049999999999999</v>
      </c>
      <c r="L21" t="s">
        <v>112</v>
      </c>
      <c r="M21">
        <v>3.2418</v>
      </c>
      <c r="N21">
        <v>0.15110000000000001</v>
      </c>
      <c r="O21">
        <v>19.3</v>
      </c>
      <c r="P21">
        <v>3</v>
      </c>
      <c r="Q21" s="1">
        <v>0.16577052495141401</v>
      </c>
      <c r="R21" s="1">
        <v>145493.66</v>
      </c>
      <c r="S21">
        <v>22319.599999999999</v>
      </c>
      <c r="W21">
        <v>19</v>
      </c>
      <c r="X21">
        <v>667.13</v>
      </c>
      <c r="AA21">
        <v>20</v>
      </c>
      <c r="AB21">
        <v>73266.371943000006</v>
      </c>
      <c r="AC21">
        <v>20</v>
      </c>
      <c r="AD21">
        <v>1184.586769</v>
      </c>
      <c r="AJ21">
        <v>19</v>
      </c>
      <c r="AK21">
        <v>2945830.2</v>
      </c>
      <c r="AL21">
        <v>19</v>
      </c>
      <c r="AM21">
        <v>3852.1</v>
      </c>
    </row>
    <row r="22" spans="1:39" x14ac:dyDescent="0.3">
      <c r="A22" t="s">
        <v>30</v>
      </c>
      <c r="B22">
        <v>8</v>
      </c>
      <c r="C22">
        <v>221373</v>
      </c>
      <c r="D22">
        <v>3152670</v>
      </c>
      <c r="E22">
        <v>302</v>
      </c>
      <c r="F22" t="s">
        <v>93</v>
      </c>
      <c r="G22">
        <v>11.6088</v>
      </c>
      <c r="H22">
        <v>0.16980000000000001</v>
      </c>
      <c r="I22" t="s">
        <v>38</v>
      </c>
      <c r="J22">
        <v>39.201000000000001</v>
      </c>
      <c r="K22">
        <v>0.121</v>
      </c>
      <c r="L22" t="s">
        <v>113</v>
      </c>
      <c r="M22">
        <v>1.8586</v>
      </c>
      <c r="N22">
        <v>0.13300000000000001</v>
      </c>
      <c r="O22">
        <v>19.3</v>
      </c>
      <c r="P22">
        <v>3</v>
      </c>
      <c r="Q22" s="1">
        <v>0.26489528635802201</v>
      </c>
      <c r="R22" s="1">
        <v>23168.52</v>
      </c>
      <c r="S22">
        <v>9906.2199999999993</v>
      </c>
      <c r="W22">
        <v>20</v>
      </c>
      <c r="X22">
        <v>3255.78</v>
      </c>
      <c r="AJ22">
        <v>20</v>
      </c>
      <c r="AK22">
        <v>8518133.6999999993</v>
      </c>
      <c r="AL22">
        <v>20</v>
      </c>
      <c r="AM22">
        <v>17658.04</v>
      </c>
    </row>
    <row r="23" spans="1:39" x14ac:dyDescent="0.3">
      <c r="A23" t="s">
        <v>30</v>
      </c>
      <c r="B23">
        <v>9</v>
      </c>
      <c r="C23">
        <v>221446</v>
      </c>
      <c r="D23">
        <v>3152576</v>
      </c>
      <c r="E23">
        <v>282</v>
      </c>
      <c r="F23" t="s">
        <v>94</v>
      </c>
      <c r="G23">
        <v>11.212300000000001</v>
      </c>
      <c r="H23">
        <v>0.16689999999999999</v>
      </c>
      <c r="I23" t="s">
        <v>39</v>
      </c>
      <c r="J23">
        <v>56.582000000000001</v>
      </c>
      <c r="K23">
        <v>0.18609999999999999</v>
      </c>
      <c r="L23" t="s">
        <v>114</v>
      </c>
      <c r="M23">
        <v>2.1798999999999999</v>
      </c>
      <c r="N23">
        <v>0.1026</v>
      </c>
      <c r="O23">
        <v>19.3</v>
      </c>
      <c r="P23">
        <v>3</v>
      </c>
      <c r="Q23" s="1">
        <v>0.156474093146245</v>
      </c>
      <c r="R23" s="1">
        <v>52136.14</v>
      </c>
      <c r="S23">
        <v>11227.06</v>
      </c>
      <c r="W23">
        <v>21</v>
      </c>
      <c r="X23">
        <v>57.376016</v>
      </c>
    </row>
    <row r="24" spans="1:39" x14ac:dyDescent="0.3">
      <c r="A24" t="s">
        <v>30</v>
      </c>
      <c r="B24">
        <v>10</v>
      </c>
      <c r="C24">
        <v>221509</v>
      </c>
      <c r="D24">
        <v>3152541</v>
      </c>
      <c r="E24">
        <v>273</v>
      </c>
      <c r="F24" t="s">
        <v>95</v>
      </c>
      <c r="G24">
        <v>7.9013</v>
      </c>
      <c r="H24">
        <v>0.19089999999999999</v>
      </c>
      <c r="I24" t="s">
        <v>40</v>
      </c>
      <c r="J24">
        <v>38.436</v>
      </c>
      <c r="K24">
        <v>0.1552</v>
      </c>
      <c r="L24" t="s">
        <v>115</v>
      </c>
      <c r="M24">
        <v>1.9086000000000001</v>
      </c>
      <c r="N24">
        <v>0.16930000000000001</v>
      </c>
      <c r="O24">
        <v>19.3</v>
      </c>
      <c r="P24">
        <v>3</v>
      </c>
      <c r="Q24" s="1">
        <v>0.26308991752520899</v>
      </c>
      <c r="R24" s="1">
        <v>16804.89</v>
      </c>
      <c r="S24">
        <v>6949.38</v>
      </c>
    </row>
    <row r="25" spans="1:39" x14ac:dyDescent="0.3">
      <c r="A25" t="s">
        <v>30</v>
      </c>
      <c r="B25">
        <v>11</v>
      </c>
      <c r="C25">
        <v>221486</v>
      </c>
      <c r="D25">
        <v>3152499</v>
      </c>
      <c r="E25">
        <v>261</v>
      </c>
      <c r="F25" t="s">
        <v>96</v>
      </c>
      <c r="G25">
        <v>17.082100000000001</v>
      </c>
      <c r="H25">
        <v>8.9899999999999994E-2</v>
      </c>
      <c r="I25" t="s">
        <v>41</v>
      </c>
      <c r="J25">
        <v>32.415999999999997</v>
      </c>
      <c r="K25">
        <v>0.1401</v>
      </c>
      <c r="L25" t="s">
        <v>116</v>
      </c>
      <c r="M25">
        <v>1.7718</v>
      </c>
      <c r="N25">
        <v>0.18160000000000001</v>
      </c>
      <c r="O25">
        <v>19.3</v>
      </c>
      <c r="P25">
        <v>3</v>
      </c>
      <c r="Q25" s="1">
        <v>0.33603397396103701</v>
      </c>
      <c r="R25" s="1">
        <v>24228.32</v>
      </c>
      <c r="S25">
        <v>13785.2</v>
      </c>
    </row>
    <row r="26" spans="1:39" x14ac:dyDescent="0.3">
      <c r="A26" t="s">
        <v>30</v>
      </c>
      <c r="B26">
        <v>12</v>
      </c>
      <c r="C26">
        <v>221519</v>
      </c>
      <c r="D26">
        <v>3152387</v>
      </c>
      <c r="E26">
        <v>235</v>
      </c>
      <c r="F26" t="s">
        <v>97</v>
      </c>
      <c r="G26">
        <v>24.250699999999998</v>
      </c>
      <c r="H26">
        <v>0.1166</v>
      </c>
      <c r="I26" t="s">
        <v>42</v>
      </c>
      <c r="J26">
        <v>41.341000000000001</v>
      </c>
      <c r="K26">
        <v>8.7599999999999997E-2</v>
      </c>
      <c r="L26" t="s">
        <v>117</v>
      </c>
      <c r="M26">
        <v>2.0318999999999998</v>
      </c>
      <c r="N26">
        <v>0.1033</v>
      </c>
      <c r="O26">
        <v>19.3</v>
      </c>
      <c r="P26">
        <v>3</v>
      </c>
      <c r="Q26" s="1">
        <v>0.229759777022255</v>
      </c>
      <c r="R26" s="1">
        <v>65162.63</v>
      </c>
      <c r="S26">
        <v>22105.05</v>
      </c>
      <c r="U26" s="2" t="s">
        <v>57</v>
      </c>
      <c r="W26" s="2" t="s">
        <v>58</v>
      </c>
    </row>
    <row r="27" spans="1:39" x14ac:dyDescent="0.3">
      <c r="A27" t="s">
        <v>30</v>
      </c>
      <c r="B27">
        <v>13</v>
      </c>
      <c r="C27">
        <v>221563</v>
      </c>
      <c r="D27">
        <v>3152322</v>
      </c>
      <c r="E27">
        <v>195</v>
      </c>
      <c r="F27" t="s">
        <v>98</v>
      </c>
      <c r="G27">
        <v>16.902999999999999</v>
      </c>
      <c r="H27">
        <v>9.6799999999999997E-2</v>
      </c>
      <c r="I27" t="s">
        <v>43</v>
      </c>
      <c r="J27">
        <v>38.747</v>
      </c>
      <c r="K27">
        <v>0.12959999999999999</v>
      </c>
      <c r="L27" t="s">
        <v>118</v>
      </c>
      <c r="M27">
        <v>0.92459999999999998</v>
      </c>
      <c r="N27">
        <v>8.8700000000000001E-2</v>
      </c>
      <c r="O27">
        <v>19.3</v>
      </c>
      <c r="P27">
        <v>3</v>
      </c>
      <c r="Q27">
        <v>0.53872277627952403</v>
      </c>
      <c r="R27" s="1">
        <v>4073.59</v>
      </c>
      <c r="S27">
        <v>7120.49</v>
      </c>
      <c r="U27" t="s">
        <v>1</v>
      </c>
      <c r="V27" t="s">
        <v>54</v>
      </c>
      <c r="W27" t="s">
        <v>1</v>
      </c>
      <c r="X27" t="s">
        <v>54</v>
      </c>
    </row>
    <row r="28" spans="1:39" x14ac:dyDescent="0.3">
      <c r="A28" t="s">
        <v>30</v>
      </c>
      <c r="B28">
        <v>14</v>
      </c>
      <c r="C28">
        <v>221647</v>
      </c>
      <c r="D28">
        <v>3152222</v>
      </c>
      <c r="E28">
        <v>171</v>
      </c>
      <c r="F28" t="s">
        <v>99</v>
      </c>
      <c r="G28">
        <v>5.3771000000000004</v>
      </c>
      <c r="H28">
        <v>0.13950000000000001</v>
      </c>
      <c r="I28" t="s">
        <v>44</v>
      </c>
      <c r="J28">
        <v>38.116999999999997</v>
      </c>
      <c r="K28">
        <v>0.11550000000000001</v>
      </c>
      <c r="L28" t="s">
        <v>119</v>
      </c>
      <c r="M28">
        <v>2.0013999999999998</v>
      </c>
      <c r="N28">
        <v>8.0699999999999994E-2</v>
      </c>
      <c r="O28">
        <v>19.3</v>
      </c>
      <c r="P28">
        <v>3</v>
      </c>
      <c r="Q28" s="1">
        <v>0.25299078430076799</v>
      </c>
      <c r="R28" s="1">
        <v>13099.73</v>
      </c>
      <c r="S28">
        <v>4967.6899999999996</v>
      </c>
      <c r="U28">
        <v>1</v>
      </c>
      <c r="V28">
        <v>67679.317018000002</v>
      </c>
      <c r="W28">
        <v>1</v>
      </c>
      <c r="X28">
        <v>3740.39</v>
      </c>
    </row>
    <row r="29" spans="1:39" x14ac:dyDescent="0.3">
      <c r="A29" t="s">
        <v>30</v>
      </c>
      <c r="B29">
        <v>15</v>
      </c>
      <c r="C29">
        <v>221749</v>
      </c>
      <c r="D29">
        <v>3152003</v>
      </c>
      <c r="E29">
        <v>165</v>
      </c>
      <c r="F29" t="s">
        <v>100</v>
      </c>
      <c r="G29">
        <v>4.0655999999999999</v>
      </c>
      <c r="H29">
        <v>0.1507</v>
      </c>
      <c r="I29" t="s">
        <v>45</v>
      </c>
      <c r="J29">
        <v>22.251000000000001</v>
      </c>
      <c r="K29">
        <v>0.1759</v>
      </c>
      <c r="L29" t="s">
        <v>120</v>
      </c>
      <c r="M29">
        <v>1.9742999999999999</v>
      </c>
      <c r="N29">
        <v>0.1701</v>
      </c>
      <c r="O29">
        <v>19.3</v>
      </c>
      <c r="P29">
        <v>3</v>
      </c>
      <c r="Q29" s="1">
        <v>0.439333813053988</v>
      </c>
      <c r="R29" s="1">
        <v>5553.68</v>
      </c>
      <c r="S29">
        <v>3707.52</v>
      </c>
      <c r="U29">
        <v>2</v>
      </c>
      <c r="V29">
        <v>41896.11</v>
      </c>
      <c r="W29">
        <v>2</v>
      </c>
      <c r="X29">
        <v>13562.19</v>
      </c>
    </row>
    <row r="30" spans="1:39" x14ac:dyDescent="0.3">
      <c r="A30" t="s">
        <v>30</v>
      </c>
      <c r="B30">
        <v>16</v>
      </c>
      <c r="C30">
        <v>221755</v>
      </c>
      <c r="D30">
        <v>3151972</v>
      </c>
      <c r="E30">
        <v>149</v>
      </c>
      <c r="F30" t="s">
        <v>101</v>
      </c>
      <c r="G30">
        <v>7.1382000000000003</v>
      </c>
      <c r="H30">
        <v>0.1888</v>
      </c>
      <c r="I30" t="s">
        <v>46</v>
      </c>
      <c r="J30">
        <v>13.449</v>
      </c>
      <c r="K30">
        <v>0.14480000000000001</v>
      </c>
      <c r="L30" t="s">
        <v>121</v>
      </c>
      <c r="M30">
        <v>1.3093999999999999</v>
      </c>
      <c r="N30">
        <v>0.1431</v>
      </c>
      <c r="O30">
        <v>19.3</v>
      </c>
      <c r="P30">
        <v>3</v>
      </c>
      <c r="Q30" s="1">
        <v>1.0959606943293729</v>
      </c>
      <c r="R30" s="1">
        <v>1716.34</v>
      </c>
      <c r="S30">
        <v>4309.7</v>
      </c>
      <c r="U30">
        <v>3</v>
      </c>
      <c r="V30">
        <v>31331.49</v>
      </c>
      <c r="W30">
        <v>3</v>
      </c>
      <c r="X30">
        <v>24043.46</v>
      </c>
    </row>
    <row r="31" spans="1:39" x14ac:dyDescent="0.3">
      <c r="A31" t="s">
        <v>30</v>
      </c>
      <c r="B31">
        <v>17</v>
      </c>
      <c r="C31">
        <v>221779</v>
      </c>
      <c r="D31">
        <v>3151931</v>
      </c>
      <c r="E31">
        <v>144</v>
      </c>
      <c r="F31" t="s">
        <v>102</v>
      </c>
      <c r="G31">
        <v>14.9716</v>
      </c>
      <c r="H31">
        <v>9.7000000000000003E-2</v>
      </c>
      <c r="I31" t="s">
        <v>47</v>
      </c>
      <c r="J31">
        <v>13.244999999999999</v>
      </c>
      <c r="K31">
        <v>0.16980000000000001</v>
      </c>
      <c r="L31" t="s">
        <v>122</v>
      </c>
      <c r="M31">
        <v>0.52100000000000002</v>
      </c>
      <c r="N31">
        <v>0.1026</v>
      </c>
      <c r="O31">
        <v>19.3</v>
      </c>
      <c r="P31">
        <v>3</v>
      </c>
      <c r="Q31" s="1">
        <v>2.796840005535715</v>
      </c>
      <c r="R31">
        <v>221.37</v>
      </c>
      <c r="S31">
        <v>3565.02</v>
      </c>
      <c r="U31">
        <v>4</v>
      </c>
      <c r="V31">
        <v>32596.7</v>
      </c>
      <c r="W31">
        <v>4</v>
      </c>
      <c r="X31">
        <v>11762.11</v>
      </c>
    </row>
    <row r="32" spans="1:39" x14ac:dyDescent="0.3">
      <c r="A32" t="s">
        <v>30</v>
      </c>
      <c r="B32">
        <v>18</v>
      </c>
      <c r="C32">
        <v>221819</v>
      </c>
      <c r="D32">
        <v>3151907</v>
      </c>
      <c r="E32">
        <v>111</v>
      </c>
      <c r="F32" t="s">
        <v>103</v>
      </c>
      <c r="G32">
        <v>20.209299999999999</v>
      </c>
      <c r="H32">
        <v>0.20599999999999999</v>
      </c>
      <c r="I32" t="s">
        <v>48</v>
      </c>
      <c r="J32">
        <v>15.538</v>
      </c>
      <c r="K32">
        <v>0.13600000000000001</v>
      </c>
      <c r="L32" t="s">
        <v>123</v>
      </c>
      <c r="M32">
        <v>0.88690000000000002</v>
      </c>
      <c r="N32">
        <v>0.15970000000000001</v>
      </c>
      <c r="O32">
        <v>19.3</v>
      </c>
      <c r="P32">
        <v>4</v>
      </c>
      <c r="Q32" s="1">
        <v>1.4005142659358309</v>
      </c>
      <c r="R32">
        <v>1284.76</v>
      </c>
      <c r="S32">
        <v>8115.09</v>
      </c>
      <c r="U32">
        <v>5</v>
      </c>
      <c r="V32">
        <v>28754.09</v>
      </c>
      <c r="W32">
        <v>5</v>
      </c>
      <c r="X32">
        <v>6201.8</v>
      </c>
    </row>
    <row r="33" spans="1:24" x14ac:dyDescent="0.3">
      <c r="A33" t="s">
        <v>30</v>
      </c>
      <c r="B33">
        <v>19</v>
      </c>
      <c r="C33">
        <v>221889</v>
      </c>
      <c r="D33">
        <v>3151865</v>
      </c>
      <c r="E33">
        <v>96</v>
      </c>
      <c r="F33" t="s">
        <v>104</v>
      </c>
      <c r="G33">
        <v>21.891300000000001</v>
      </c>
      <c r="H33">
        <v>5.9799999999999999E-2</v>
      </c>
      <c r="I33" t="s">
        <v>49</v>
      </c>
      <c r="J33">
        <v>22.452999999999999</v>
      </c>
      <c r="K33">
        <v>0.1628</v>
      </c>
      <c r="L33" t="s">
        <v>124</v>
      </c>
      <c r="M33">
        <v>0.61470000000000002</v>
      </c>
      <c r="N33">
        <v>0.14399999999999999</v>
      </c>
      <c r="O33">
        <v>19.3</v>
      </c>
      <c r="P33">
        <v>4</v>
      </c>
      <c r="Q33" s="1">
        <v>1.398362340911016</v>
      </c>
      <c r="R33" s="1">
        <v>667.13</v>
      </c>
      <c r="S33">
        <v>6070.53</v>
      </c>
      <c r="U33">
        <v>6</v>
      </c>
      <c r="V33">
        <v>26555.65</v>
      </c>
      <c r="W33">
        <v>6</v>
      </c>
      <c r="X33">
        <v>19772.55</v>
      </c>
    </row>
    <row r="34" spans="1:24" x14ac:dyDescent="0.3">
      <c r="A34" t="s">
        <v>30</v>
      </c>
      <c r="B34">
        <v>20</v>
      </c>
      <c r="C34">
        <v>221964</v>
      </c>
      <c r="D34">
        <v>3151821</v>
      </c>
      <c r="E34">
        <v>83</v>
      </c>
      <c r="F34" t="s">
        <v>105</v>
      </c>
      <c r="G34">
        <v>15.8971</v>
      </c>
      <c r="H34">
        <v>0.11169999999999999</v>
      </c>
      <c r="I34" t="s">
        <v>50</v>
      </c>
      <c r="J34">
        <v>23.526</v>
      </c>
      <c r="K34">
        <v>0.1331</v>
      </c>
      <c r="L34" t="s">
        <v>125</v>
      </c>
      <c r="M34">
        <v>1.1376999999999999</v>
      </c>
      <c r="N34">
        <v>0.1298</v>
      </c>
      <c r="O34">
        <v>19.3</v>
      </c>
      <c r="P34">
        <v>4</v>
      </c>
      <c r="Q34" s="1">
        <v>0.72107669288763099</v>
      </c>
      <c r="R34" s="1">
        <v>3255.78</v>
      </c>
      <c r="S34">
        <v>8254.09</v>
      </c>
      <c r="U34">
        <v>7</v>
      </c>
      <c r="V34">
        <v>32402.89</v>
      </c>
      <c r="W34">
        <v>7</v>
      </c>
      <c r="X34">
        <v>22319.599999999999</v>
      </c>
    </row>
    <row r="35" spans="1:24" x14ac:dyDescent="0.3">
      <c r="A35" t="s">
        <v>30</v>
      </c>
      <c r="B35">
        <v>21</v>
      </c>
      <c r="C35">
        <v>222036</v>
      </c>
      <c r="D35">
        <v>3151776</v>
      </c>
      <c r="E35" t="s">
        <v>51</v>
      </c>
      <c r="F35" t="s">
        <v>52</v>
      </c>
      <c r="G35">
        <v>13.082000000000001</v>
      </c>
      <c r="H35">
        <v>0.17549999999999999</v>
      </c>
      <c r="I35" t="s">
        <v>53</v>
      </c>
      <c r="J35">
        <v>0.01</v>
      </c>
      <c r="K35">
        <v>0</v>
      </c>
      <c r="L35" t="s">
        <v>53</v>
      </c>
      <c r="M35">
        <v>0.01</v>
      </c>
      <c r="N35">
        <v>0</v>
      </c>
      <c r="S35">
        <v>57.376016</v>
      </c>
      <c r="U35">
        <v>8</v>
      </c>
      <c r="V35">
        <v>24402.35</v>
      </c>
      <c r="W35">
        <v>8</v>
      </c>
      <c r="X35">
        <v>9906.2199999999993</v>
      </c>
    </row>
    <row r="36" spans="1:24" x14ac:dyDescent="0.3">
      <c r="U36">
        <v>9</v>
      </c>
      <c r="V36">
        <v>20218.52</v>
      </c>
      <c r="W36">
        <v>9</v>
      </c>
      <c r="X36">
        <v>11227.06</v>
      </c>
    </row>
    <row r="37" spans="1:24" x14ac:dyDescent="0.3">
      <c r="U37">
        <v>10</v>
      </c>
      <c r="V37">
        <v>14662.51</v>
      </c>
      <c r="W37">
        <v>10</v>
      </c>
      <c r="X37">
        <v>6949.38</v>
      </c>
    </row>
    <row r="38" spans="1:24" x14ac:dyDescent="0.3">
      <c r="W38">
        <v>11</v>
      </c>
      <c r="X38">
        <v>13785.2</v>
      </c>
    </row>
    <row r="39" spans="1:24" x14ac:dyDescent="0.3">
      <c r="W39">
        <v>12</v>
      </c>
      <c r="X39">
        <v>22105.05</v>
      </c>
    </row>
    <row r="40" spans="1:24" x14ac:dyDescent="0.3">
      <c r="W40">
        <v>13</v>
      </c>
      <c r="X40">
        <v>7120.49</v>
      </c>
    </row>
    <row r="41" spans="1:24" x14ac:dyDescent="0.3">
      <c r="W41">
        <v>14</v>
      </c>
      <c r="X41">
        <v>4967.6899999999996</v>
      </c>
    </row>
    <row r="42" spans="1:24" x14ac:dyDescent="0.3">
      <c r="W42">
        <v>15</v>
      </c>
      <c r="X42">
        <v>3707.52</v>
      </c>
    </row>
    <row r="43" spans="1:24" x14ac:dyDescent="0.3">
      <c r="W43">
        <v>16</v>
      </c>
      <c r="X43">
        <v>4309.7</v>
      </c>
    </row>
    <row r="44" spans="1:24" x14ac:dyDescent="0.3">
      <c r="W44">
        <v>17</v>
      </c>
      <c r="X44">
        <v>3565.02</v>
      </c>
    </row>
    <row r="45" spans="1:24" x14ac:dyDescent="0.3">
      <c r="W45">
        <v>18</v>
      </c>
      <c r="X45">
        <v>8115.09</v>
      </c>
    </row>
    <row r="46" spans="1:24" x14ac:dyDescent="0.3">
      <c r="W46">
        <v>19</v>
      </c>
      <c r="X46">
        <v>6070.53</v>
      </c>
    </row>
    <row r="47" spans="1:24" x14ac:dyDescent="0.3">
      <c r="W47">
        <v>20</v>
      </c>
      <c r="X47">
        <v>8254.09</v>
      </c>
    </row>
    <row r="48" spans="1:24" x14ac:dyDescent="0.3">
      <c r="W48">
        <v>21</v>
      </c>
      <c r="X48">
        <v>57.376016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A9E6-E908-43C9-8105-415985011750}">
  <dimension ref="A1:N31"/>
  <sheetViews>
    <sheetView tabSelected="1" topLeftCell="A22" zoomScale="51" workbookViewId="0">
      <selection activeCell="Q75" sqref="Q75"/>
    </sheetView>
  </sheetViews>
  <sheetFormatPr defaultRowHeight="14.4" x14ac:dyDescent="0.3"/>
  <cols>
    <col min="1" max="1" width="15.88671875" bestFit="1" customWidth="1"/>
    <col min="2" max="2" width="5" bestFit="1" customWidth="1"/>
    <col min="3" max="3" width="11.44140625" bestFit="1" customWidth="1"/>
    <col min="4" max="4" width="12.5546875" bestFit="1" customWidth="1"/>
    <col min="5" max="5" width="13.6640625" bestFit="1" customWidth="1"/>
    <col min="6" max="6" width="13.21875" bestFit="1" customWidth="1"/>
    <col min="7" max="7" width="12.5546875" bestFit="1" customWidth="1"/>
    <col min="8" max="8" width="13" bestFit="1" customWidth="1"/>
    <col min="9" max="9" width="12.33203125" bestFit="1" customWidth="1"/>
    <col min="10" max="10" width="13.88671875" bestFit="1" customWidth="1"/>
    <col min="11" max="11" width="13.21875" bestFit="1" customWidth="1"/>
    <col min="12" max="12" width="9" bestFit="1" customWidth="1"/>
    <col min="13" max="13" width="16.109375" bestFit="1" customWidth="1"/>
    <col min="14" max="14" width="18.777343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9</v>
      </c>
      <c r="I1" s="2" t="s">
        <v>10</v>
      </c>
      <c r="J1" s="2" t="s">
        <v>12</v>
      </c>
      <c r="K1" s="2" t="s">
        <v>13</v>
      </c>
      <c r="L1" s="2" t="s">
        <v>130</v>
      </c>
      <c r="M1" s="2" t="s">
        <v>59</v>
      </c>
      <c r="N1" s="2" t="s">
        <v>54</v>
      </c>
    </row>
    <row r="2" spans="1:14" x14ac:dyDescent="0.3">
      <c r="A2" t="s">
        <v>18</v>
      </c>
      <c r="B2">
        <v>1</v>
      </c>
      <c r="C2">
        <v>219573</v>
      </c>
      <c r="D2">
        <v>3167280</v>
      </c>
      <c r="E2">
        <v>870</v>
      </c>
      <c r="F2">
        <v>28.658999999999999</v>
      </c>
      <c r="G2">
        <v>0.13289999999999999</v>
      </c>
      <c r="H2">
        <v>49.445999999999998</v>
      </c>
      <c r="I2">
        <v>0.1163</v>
      </c>
      <c r="J2">
        <v>5.3277999999999999</v>
      </c>
      <c r="K2">
        <v>0.12559999999999999</v>
      </c>
      <c r="L2">
        <v>18.7</v>
      </c>
      <c r="M2">
        <v>1856.6</v>
      </c>
      <c r="N2">
        <v>18.399999999999999</v>
      </c>
    </row>
    <row r="3" spans="1:14" x14ac:dyDescent="0.3">
      <c r="A3" t="s">
        <v>18</v>
      </c>
      <c r="B3">
        <v>2</v>
      </c>
      <c r="C3">
        <v>219522</v>
      </c>
      <c r="D3">
        <v>3167303</v>
      </c>
      <c r="E3">
        <v>849</v>
      </c>
      <c r="F3">
        <v>24.7896</v>
      </c>
      <c r="G3">
        <v>0.12130000000000001</v>
      </c>
      <c r="H3">
        <v>62.433</v>
      </c>
      <c r="I3">
        <v>0.1454</v>
      </c>
      <c r="J3">
        <v>3.7725</v>
      </c>
      <c r="K3">
        <v>0.1328</v>
      </c>
      <c r="L3">
        <v>18.7</v>
      </c>
      <c r="M3">
        <v>3512.1</v>
      </c>
      <c r="N3">
        <v>66.98</v>
      </c>
    </row>
    <row r="4" spans="1:14" x14ac:dyDescent="0.3">
      <c r="A4" t="s">
        <v>18</v>
      </c>
      <c r="B4">
        <v>3</v>
      </c>
      <c r="C4">
        <v>219470</v>
      </c>
      <c r="D4">
        <v>3167291</v>
      </c>
      <c r="E4">
        <v>841</v>
      </c>
      <c r="F4">
        <v>20.729099999999999</v>
      </c>
      <c r="G4">
        <v>0.1832</v>
      </c>
      <c r="H4">
        <v>63.902999999999999</v>
      </c>
      <c r="I4">
        <v>0.121</v>
      </c>
      <c r="J4">
        <v>3.3420000000000001</v>
      </c>
      <c r="K4">
        <v>0.12989999999999999</v>
      </c>
      <c r="L4">
        <v>18.7</v>
      </c>
      <c r="M4">
        <v>20476.7</v>
      </c>
      <c r="N4">
        <v>203.63</v>
      </c>
    </row>
    <row r="5" spans="1:14" x14ac:dyDescent="0.3">
      <c r="A5" t="s">
        <v>18</v>
      </c>
      <c r="B5">
        <v>4</v>
      </c>
      <c r="C5">
        <v>219413</v>
      </c>
      <c r="D5">
        <v>3167302</v>
      </c>
      <c r="E5">
        <v>833</v>
      </c>
      <c r="F5">
        <v>18.8184</v>
      </c>
      <c r="G5">
        <v>0.1293</v>
      </c>
      <c r="H5">
        <v>77.992999999999995</v>
      </c>
      <c r="I5">
        <v>0.1158</v>
      </c>
      <c r="J5">
        <v>3.8151999999999999</v>
      </c>
      <c r="K5">
        <v>9.8000000000000004E-2</v>
      </c>
      <c r="L5">
        <v>18.7</v>
      </c>
      <c r="M5">
        <v>72240.2</v>
      </c>
      <c r="N5">
        <v>88.13</v>
      </c>
    </row>
    <row r="6" spans="1:14" x14ac:dyDescent="0.3">
      <c r="A6" t="s">
        <v>18</v>
      </c>
      <c r="B6">
        <v>5</v>
      </c>
      <c r="C6">
        <v>219298</v>
      </c>
      <c r="D6">
        <v>3167348</v>
      </c>
      <c r="E6">
        <v>804</v>
      </c>
      <c r="F6">
        <v>14.650499999999999</v>
      </c>
      <c r="G6">
        <v>9.64E-2</v>
      </c>
      <c r="H6">
        <v>60.447000000000003</v>
      </c>
      <c r="I6">
        <v>0.16569999999999999</v>
      </c>
      <c r="J6">
        <v>4.2922000000000002</v>
      </c>
      <c r="K6">
        <v>0.17760000000000001</v>
      </c>
      <c r="L6">
        <v>18.7</v>
      </c>
      <c r="M6">
        <v>302927.90000000002</v>
      </c>
      <c r="N6">
        <v>455.86</v>
      </c>
    </row>
    <row r="7" spans="1:14" x14ac:dyDescent="0.3">
      <c r="A7" t="s">
        <v>18</v>
      </c>
      <c r="B7">
        <v>6</v>
      </c>
      <c r="C7">
        <v>219180</v>
      </c>
      <c r="D7">
        <v>3167431</v>
      </c>
      <c r="E7">
        <v>776</v>
      </c>
      <c r="F7">
        <v>14.214499999999999</v>
      </c>
      <c r="G7">
        <v>0.1376</v>
      </c>
      <c r="H7">
        <v>46.106999999999999</v>
      </c>
      <c r="I7">
        <v>0.16389999999999999</v>
      </c>
      <c r="J7">
        <v>4.0830000000000002</v>
      </c>
      <c r="K7">
        <v>0.1106</v>
      </c>
      <c r="L7">
        <v>18.7</v>
      </c>
      <c r="M7">
        <v>133950.20000000001</v>
      </c>
      <c r="N7">
        <v>4581.5200000000004</v>
      </c>
    </row>
    <row r="8" spans="1:14" x14ac:dyDescent="0.3">
      <c r="A8" t="s">
        <v>18</v>
      </c>
      <c r="B8">
        <v>7</v>
      </c>
      <c r="C8">
        <v>219140</v>
      </c>
      <c r="D8">
        <v>3167416</v>
      </c>
      <c r="E8">
        <v>769</v>
      </c>
      <c r="F8">
        <v>18.066299999999998</v>
      </c>
      <c r="G8">
        <v>9.9400000000000002E-2</v>
      </c>
      <c r="H8">
        <v>33.777000000000001</v>
      </c>
      <c r="I8">
        <v>0.15049999999999999</v>
      </c>
      <c r="J8">
        <v>3.9447999999999999</v>
      </c>
      <c r="K8">
        <v>0.15110000000000001</v>
      </c>
      <c r="L8">
        <v>18.7</v>
      </c>
      <c r="M8">
        <v>1381458</v>
      </c>
      <c r="N8">
        <v>4909.42</v>
      </c>
    </row>
    <row r="9" spans="1:14" x14ac:dyDescent="0.3">
      <c r="A9" t="s">
        <v>18</v>
      </c>
      <c r="B9">
        <v>8</v>
      </c>
      <c r="C9">
        <v>219079</v>
      </c>
      <c r="D9">
        <v>3167448</v>
      </c>
      <c r="E9">
        <v>761</v>
      </c>
      <c r="F9">
        <v>15.610799999999999</v>
      </c>
      <c r="G9">
        <v>0.16980000000000001</v>
      </c>
      <c r="H9">
        <v>37.625</v>
      </c>
      <c r="I9">
        <v>0.121</v>
      </c>
      <c r="J9">
        <v>3.4236</v>
      </c>
      <c r="K9">
        <v>0.13300000000000001</v>
      </c>
      <c r="L9">
        <v>18.7</v>
      </c>
      <c r="M9">
        <v>195420.3</v>
      </c>
      <c r="N9">
        <v>680.45</v>
      </c>
    </row>
    <row r="10" spans="1:14" x14ac:dyDescent="0.3">
      <c r="A10" t="s">
        <v>18</v>
      </c>
      <c r="B10">
        <v>9</v>
      </c>
      <c r="C10">
        <v>218994</v>
      </c>
      <c r="D10">
        <v>3167418</v>
      </c>
      <c r="E10">
        <v>738</v>
      </c>
      <c r="F10">
        <v>12.2043</v>
      </c>
      <c r="G10">
        <v>0.16689999999999999</v>
      </c>
      <c r="H10">
        <v>42.442</v>
      </c>
      <c r="I10">
        <v>0.18609999999999999</v>
      </c>
      <c r="J10">
        <v>3.6109</v>
      </c>
      <c r="K10">
        <v>0.1026</v>
      </c>
      <c r="L10">
        <v>18.7</v>
      </c>
      <c r="M10">
        <v>851164.7</v>
      </c>
      <c r="N10">
        <v>5104.1000000000004</v>
      </c>
    </row>
    <row r="11" spans="1:14" x14ac:dyDescent="0.3">
      <c r="A11" t="s">
        <v>18</v>
      </c>
      <c r="B11">
        <v>10</v>
      </c>
      <c r="C11">
        <v>218868</v>
      </c>
      <c r="D11">
        <v>3167461</v>
      </c>
      <c r="E11">
        <v>712</v>
      </c>
      <c r="F11">
        <v>12.904299999999999</v>
      </c>
      <c r="G11">
        <v>0.19089999999999999</v>
      </c>
      <c r="H11">
        <v>33.808999999999997</v>
      </c>
      <c r="I11">
        <v>0.1552</v>
      </c>
      <c r="J11">
        <v>2.4788000000000001</v>
      </c>
      <c r="K11">
        <v>0.1694</v>
      </c>
      <c r="L11">
        <v>18.7</v>
      </c>
      <c r="M11">
        <v>29874210.5</v>
      </c>
      <c r="N11">
        <v>41203.879999999997</v>
      </c>
    </row>
    <row r="12" spans="1:14" x14ac:dyDescent="0.3">
      <c r="A12" t="s">
        <v>30</v>
      </c>
      <c r="B12">
        <v>1</v>
      </c>
      <c r="C12">
        <v>220972</v>
      </c>
      <c r="D12">
        <v>3153192</v>
      </c>
      <c r="E12">
        <v>352</v>
      </c>
      <c r="F12">
        <v>3.9350000000000001</v>
      </c>
      <c r="G12">
        <v>0.13289999999999999</v>
      </c>
      <c r="H12">
        <v>44.314999999999998</v>
      </c>
      <c r="I12">
        <v>0.1163</v>
      </c>
      <c r="J12">
        <v>2.0577999999999999</v>
      </c>
      <c r="K12">
        <v>0.12559999999999999</v>
      </c>
      <c r="L12">
        <v>19.3</v>
      </c>
      <c r="M12">
        <v>1079.7</v>
      </c>
      <c r="N12">
        <v>33.33</v>
      </c>
    </row>
    <row r="13" spans="1:14" x14ac:dyDescent="0.3">
      <c r="A13" t="s">
        <v>30</v>
      </c>
      <c r="B13">
        <v>2</v>
      </c>
      <c r="C13">
        <v>221081</v>
      </c>
      <c r="D13">
        <v>3153186</v>
      </c>
      <c r="E13">
        <v>355</v>
      </c>
      <c r="F13">
        <v>9.7916000000000007</v>
      </c>
      <c r="G13">
        <v>0.12130000000000001</v>
      </c>
      <c r="H13">
        <v>93.32</v>
      </c>
      <c r="I13">
        <v>0.1454</v>
      </c>
      <c r="J13">
        <v>3.0108000000000001</v>
      </c>
      <c r="K13">
        <v>0.1328</v>
      </c>
      <c r="L13">
        <v>19.3</v>
      </c>
      <c r="M13">
        <v>4045.8</v>
      </c>
      <c r="N13">
        <v>58.15</v>
      </c>
    </row>
    <row r="14" spans="1:14" x14ac:dyDescent="0.3">
      <c r="A14" t="s">
        <v>30</v>
      </c>
      <c r="B14">
        <v>3</v>
      </c>
      <c r="C14">
        <v>221142</v>
      </c>
      <c r="D14">
        <v>3153137</v>
      </c>
      <c r="E14">
        <v>357</v>
      </c>
      <c r="F14">
        <v>11.677099999999999</v>
      </c>
      <c r="G14">
        <v>0.1832</v>
      </c>
      <c r="H14">
        <v>125.077</v>
      </c>
      <c r="I14">
        <v>0.121</v>
      </c>
      <c r="J14">
        <v>4.4850000000000003</v>
      </c>
      <c r="K14">
        <v>0.12989999999999999</v>
      </c>
      <c r="L14">
        <v>19.3</v>
      </c>
      <c r="M14">
        <v>8270.9</v>
      </c>
      <c r="N14">
        <v>41.84</v>
      </c>
    </row>
    <row r="15" spans="1:14" x14ac:dyDescent="0.3">
      <c r="A15" t="s">
        <v>30</v>
      </c>
      <c r="B15">
        <v>4</v>
      </c>
      <c r="C15">
        <v>221177</v>
      </c>
      <c r="D15">
        <v>3153043</v>
      </c>
      <c r="E15">
        <v>335</v>
      </c>
      <c r="F15">
        <v>8.9634</v>
      </c>
      <c r="G15">
        <v>0.1293</v>
      </c>
      <c r="H15">
        <v>96.332999999999998</v>
      </c>
      <c r="I15">
        <v>0.1158</v>
      </c>
      <c r="J15">
        <v>2.8502000000000001</v>
      </c>
      <c r="K15">
        <v>9.8000000000000004E-2</v>
      </c>
      <c r="L15">
        <v>19.3</v>
      </c>
      <c r="M15">
        <v>5686.7</v>
      </c>
      <c r="N15">
        <v>47.06</v>
      </c>
    </row>
    <row r="16" spans="1:14" x14ac:dyDescent="0.3">
      <c r="A16" t="s">
        <v>30</v>
      </c>
      <c r="B16">
        <v>5</v>
      </c>
      <c r="C16">
        <v>221238</v>
      </c>
      <c r="D16">
        <v>3152894</v>
      </c>
      <c r="E16">
        <v>332</v>
      </c>
      <c r="F16">
        <v>7.8525</v>
      </c>
      <c r="G16">
        <v>9.64E-2</v>
      </c>
      <c r="H16">
        <v>104.742</v>
      </c>
      <c r="I16">
        <v>0.16569999999999999</v>
      </c>
      <c r="J16">
        <v>1.7138</v>
      </c>
      <c r="K16">
        <v>0.17760000000000001</v>
      </c>
      <c r="L16">
        <v>19.3</v>
      </c>
      <c r="M16">
        <v>3330.6</v>
      </c>
      <c r="N16">
        <v>87.95</v>
      </c>
    </row>
    <row r="17" spans="1:14" x14ac:dyDescent="0.3">
      <c r="A17" t="s">
        <v>30</v>
      </c>
      <c r="B17">
        <v>6</v>
      </c>
      <c r="C17">
        <v>221262</v>
      </c>
      <c r="D17">
        <v>3152836</v>
      </c>
      <c r="E17">
        <v>323</v>
      </c>
      <c r="F17">
        <v>9.9275000000000002</v>
      </c>
      <c r="G17">
        <v>0.1376</v>
      </c>
      <c r="H17">
        <v>87.537000000000006</v>
      </c>
      <c r="I17">
        <v>0.16400000000000001</v>
      </c>
      <c r="J17">
        <v>4.33</v>
      </c>
      <c r="K17">
        <v>0.1106</v>
      </c>
      <c r="L17">
        <v>19.3</v>
      </c>
      <c r="M17">
        <v>101288.9</v>
      </c>
      <c r="N17">
        <v>696.64</v>
      </c>
    </row>
    <row r="18" spans="1:14" x14ac:dyDescent="0.3">
      <c r="A18" t="s">
        <v>30</v>
      </c>
      <c r="B18">
        <v>7</v>
      </c>
      <c r="C18">
        <v>221277</v>
      </c>
      <c r="D18">
        <v>3152757</v>
      </c>
      <c r="E18">
        <v>313</v>
      </c>
      <c r="F18">
        <v>15.0663</v>
      </c>
      <c r="G18">
        <v>9.9400000000000002E-2</v>
      </c>
      <c r="H18">
        <v>35.914000000000001</v>
      </c>
      <c r="I18">
        <v>0.15049999999999999</v>
      </c>
      <c r="J18">
        <v>3.2418</v>
      </c>
      <c r="K18">
        <v>0.15110000000000001</v>
      </c>
      <c r="L18">
        <v>19.3</v>
      </c>
      <c r="M18">
        <v>10459.1</v>
      </c>
      <c r="N18">
        <v>812.29</v>
      </c>
    </row>
    <row r="19" spans="1:14" x14ac:dyDescent="0.3">
      <c r="A19" t="s">
        <v>30</v>
      </c>
      <c r="B19">
        <v>8</v>
      </c>
      <c r="C19">
        <v>221373</v>
      </c>
      <c r="D19">
        <v>3152670</v>
      </c>
      <c r="E19">
        <v>302</v>
      </c>
      <c r="F19">
        <v>11.6088</v>
      </c>
      <c r="G19">
        <v>0.16980000000000001</v>
      </c>
      <c r="H19">
        <v>39.201000000000001</v>
      </c>
      <c r="I19">
        <v>0.121</v>
      </c>
      <c r="J19">
        <v>1.8586</v>
      </c>
      <c r="K19">
        <v>0.13300000000000001</v>
      </c>
      <c r="L19">
        <v>19.3</v>
      </c>
      <c r="M19">
        <v>38139.5</v>
      </c>
      <c r="N19">
        <v>492.85</v>
      </c>
    </row>
    <row r="20" spans="1:14" x14ac:dyDescent="0.3">
      <c r="A20" t="s">
        <v>30</v>
      </c>
      <c r="B20">
        <v>9</v>
      </c>
      <c r="C20">
        <v>221446</v>
      </c>
      <c r="D20">
        <v>3152576</v>
      </c>
      <c r="E20">
        <v>282</v>
      </c>
      <c r="F20">
        <v>11.212300000000001</v>
      </c>
      <c r="G20">
        <v>0.16689999999999999</v>
      </c>
      <c r="H20">
        <v>56.582000000000001</v>
      </c>
      <c r="I20">
        <v>0.18609999999999999</v>
      </c>
      <c r="J20">
        <v>2.1798999999999999</v>
      </c>
      <c r="K20">
        <v>0.1026</v>
      </c>
      <c r="L20">
        <v>19.3</v>
      </c>
      <c r="M20">
        <v>116608.4</v>
      </c>
      <c r="N20">
        <v>442.78</v>
      </c>
    </row>
    <row r="21" spans="1:14" x14ac:dyDescent="0.3">
      <c r="A21" t="s">
        <v>30</v>
      </c>
      <c r="B21">
        <v>10</v>
      </c>
      <c r="C21">
        <v>221509</v>
      </c>
      <c r="D21">
        <v>3152541</v>
      </c>
      <c r="E21">
        <v>273</v>
      </c>
      <c r="F21">
        <v>7.9013</v>
      </c>
      <c r="G21">
        <v>0.19089999999999999</v>
      </c>
      <c r="H21">
        <v>38.436</v>
      </c>
      <c r="I21">
        <v>0.1552</v>
      </c>
      <c r="J21">
        <v>1.9086000000000001</v>
      </c>
      <c r="K21">
        <v>0.16930000000000001</v>
      </c>
      <c r="L21">
        <v>19.3</v>
      </c>
      <c r="M21">
        <v>99848.8</v>
      </c>
      <c r="N21">
        <v>598.51</v>
      </c>
    </row>
    <row r="22" spans="1:14" x14ac:dyDescent="0.3">
      <c r="A22" t="s">
        <v>30</v>
      </c>
      <c r="B22">
        <v>11</v>
      </c>
      <c r="C22">
        <v>221486</v>
      </c>
      <c r="D22">
        <v>3152499</v>
      </c>
      <c r="E22">
        <v>261</v>
      </c>
      <c r="F22">
        <v>17.082100000000001</v>
      </c>
      <c r="G22">
        <v>8.9899999999999994E-2</v>
      </c>
      <c r="H22">
        <v>32.415999999999997</v>
      </c>
      <c r="I22">
        <v>0.1401</v>
      </c>
      <c r="J22">
        <v>1.7718</v>
      </c>
      <c r="K22">
        <v>0.18160000000000001</v>
      </c>
      <c r="L22">
        <v>19.3</v>
      </c>
      <c r="M22">
        <v>435357.4</v>
      </c>
      <c r="N22">
        <v>1044.3900000000001</v>
      </c>
    </row>
    <row r="23" spans="1:14" x14ac:dyDescent="0.3">
      <c r="A23" t="s">
        <v>30</v>
      </c>
      <c r="B23">
        <v>12</v>
      </c>
      <c r="C23">
        <v>221519</v>
      </c>
      <c r="D23">
        <v>3152387</v>
      </c>
      <c r="E23">
        <v>235</v>
      </c>
      <c r="F23">
        <v>24.250699999999998</v>
      </c>
      <c r="G23">
        <v>0.1166</v>
      </c>
      <c r="H23">
        <v>41.341000000000001</v>
      </c>
      <c r="I23">
        <v>8.7599999999999997E-2</v>
      </c>
      <c r="J23">
        <v>2.0318999999999998</v>
      </c>
      <c r="K23">
        <v>0.1033</v>
      </c>
      <c r="L23">
        <v>19.3</v>
      </c>
      <c r="M23">
        <v>28450.6</v>
      </c>
      <c r="N23">
        <v>215.3</v>
      </c>
    </row>
    <row r="24" spans="1:14" x14ac:dyDescent="0.3">
      <c r="A24" t="s">
        <v>30</v>
      </c>
      <c r="B24">
        <v>13</v>
      </c>
      <c r="C24">
        <v>221563</v>
      </c>
      <c r="D24">
        <v>3152322</v>
      </c>
      <c r="E24">
        <v>195</v>
      </c>
      <c r="F24">
        <v>16.902999999999999</v>
      </c>
      <c r="G24">
        <v>9.6799999999999997E-2</v>
      </c>
      <c r="H24">
        <v>38.747</v>
      </c>
      <c r="I24">
        <v>0.12959999999999999</v>
      </c>
      <c r="J24">
        <v>0.92459999999999998</v>
      </c>
      <c r="K24">
        <v>8.8700000000000001E-2</v>
      </c>
      <c r="L24">
        <v>19.3</v>
      </c>
      <c r="M24">
        <v>3861368.4</v>
      </c>
      <c r="N24">
        <v>1477.85</v>
      </c>
    </row>
    <row r="25" spans="1:14" x14ac:dyDescent="0.3">
      <c r="A25" t="s">
        <v>30</v>
      </c>
      <c r="B25">
        <v>14</v>
      </c>
      <c r="C25">
        <v>221647</v>
      </c>
      <c r="D25">
        <v>3152222</v>
      </c>
      <c r="E25">
        <v>171</v>
      </c>
      <c r="F25">
        <v>5.3771000000000004</v>
      </c>
      <c r="G25">
        <v>0.13950000000000001</v>
      </c>
      <c r="H25">
        <v>38.116999999999997</v>
      </c>
      <c r="I25">
        <v>0.11550000000000001</v>
      </c>
      <c r="J25">
        <v>2.0013999999999998</v>
      </c>
      <c r="K25">
        <v>8.0699999999999994E-2</v>
      </c>
      <c r="L25">
        <v>19.3</v>
      </c>
      <c r="M25">
        <v>6217266.5</v>
      </c>
      <c r="N25">
        <v>2116.96</v>
      </c>
    </row>
    <row r="26" spans="1:14" x14ac:dyDescent="0.3">
      <c r="A26" t="s">
        <v>30</v>
      </c>
      <c r="B26">
        <v>15</v>
      </c>
      <c r="C26">
        <v>221749</v>
      </c>
      <c r="D26">
        <v>3152003</v>
      </c>
      <c r="E26">
        <v>165</v>
      </c>
      <c r="F26">
        <v>4.0655999999999999</v>
      </c>
      <c r="G26">
        <v>0.1507</v>
      </c>
      <c r="H26">
        <v>22.251000000000001</v>
      </c>
      <c r="I26">
        <v>0.1759</v>
      </c>
      <c r="J26">
        <v>1.9742999999999999</v>
      </c>
      <c r="K26">
        <v>0.1701</v>
      </c>
      <c r="L26">
        <v>19.3</v>
      </c>
      <c r="M26">
        <v>7741425.9000000004</v>
      </c>
      <c r="N26">
        <v>1492</v>
      </c>
    </row>
    <row r="27" spans="1:14" x14ac:dyDescent="0.3">
      <c r="A27" t="s">
        <v>30</v>
      </c>
      <c r="B27">
        <v>16</v>
      </c>
      <c r="C27">
        <v>221755</v>
      </c>
      <c r="D27">
        <v>3151972</v>
      </c>
      <c r="E27">
        <v>149</v>
      </c>
      <c r="F27">
        <v>7.1382000000000003</v>
      </c>
      <c r="G27">
        <v>0.1888</v>
      </c>
      <c r="H27">
        <v>13.449</v>
      </c>
      <c r="I27">
        <v>0.14480000000000001</v>
      </c>
      <c r="J27">
        <v>1.3093999999999999</v>
      </c>
      <c r="K27">
        <v>0.1431</v>
      </c>
      <c r="L27">
        <v>19.3</v>
      </c>
      <c r="M27">
        <v>3517029.8</v>
      </c>
      <c r="N27">
        <v>20846.78</v>
      </c>
    </row>
    <row r="28" spans="1:14" x14ac:dyDescent="0.3">
      <c r="A28" t="s">
        <v>30</v>
      </c>
      <c r="B28">
        <v>17</v>
      </c>
      <c r="C28">
        <v>221779</v>
      </c>
      <c r="D28">
        <v>3151931</v>
      </c>
      <c r="E28">
        <v>144</v>
      </c>
      <c r="F28">
        <v>14.9716</v>
      </c>
      <c r="G28">
        <v>9.7000000000000003E-2</v>
      </c>
      <c r="H28">
        <v>13.244999999999999</v>
      </c>
      <c r="I28">
        <v>0.16980000000000001</v>
      </c>
      <c r="J28">
        <v>0.52100000000000002</v>
      </c>
      <c r="K28">
        <v>0.1026</v>
      </c>
      <c r="L28">
        <v>19.3</v>
      </c>
      <c r="M28">
        <v>4103607.6</v>
      </c>
      <c r="N28">
        <v>52282.99</v>
      </c>
    </row>
    <row r="29" spans="1:14" x14ac:dyDescent="0.3">
      <c r="A29" t="s">
        <v>30</v>
      </c>
      <c r="B29">
        <v>18</v>
      </c>
      <c r="C29">
        <v>221819</v>
      </c>
      <c r="D29">
        <v>3151907</v>
      </c>
      <c r="E29">
        <v>111</v>
      </c>
      <c r="F29">
        <v>20.209299999999999</v>
      </c>
      <c r="G29">
        <v>0.20599999999999999</v>
      </c>
      <c r="H29">
        <v>15.538</v>
      </c>
      <c r="I29">
        <v>0.13600000000000001</v>
      </c>
      <c r="J29">
        <v>0.88690000000000002</v>
      </c>
      <c r="K29">
        <v>0.15970000000000001</v>
      </c>
      <c r="L29">
        <v>19.3</v>
      </c>
      <c r="M29">
        <v>7561391.5</v>
      </c>
      <c r="N29">
        <v>7009.6</v>
      </c>
    </row>
    <row r="30" spans="1:14" x14ac:dyDescent="0.3">
      <c r="A30" t="s">
        <v>30</v>
      </c>
      <c r="B30">
        <v>19</v>
      </c>
      <c r="C30">
        <v>221889</v>
      </c>
      <c r="D30">
        <v>3151865</v>
      </c>
      <c r="E30">
        <v>96</v>
      </c>
      <c r="F30">
        <v>21.891300000000001</v>
      </c>
      <c r="G30">
        <v>5.9799999999999999E-2</v>
      </c>
      <c r="H30">
        <v>22.452999999999999</v>
      </c>
      <c r="I30">
        <v>0.1628</v>
      </c>
      <c r="J30">
        <v>0.61470000000000002</v>
      </c>
      <c r="K30">
        <v>0.14399999999999999</v>
      </c>
      <c r="L30">
        <v>19.3</v>
      </c>
      <c r="M30">
        <v>2945830.2</v>
      </c>
      <c r="N30">
        <v>3852.1</v>
      </c>
    </row>
    <row r="31" spans="1:14" x14ac:dyDescent="0.3">
      <c r="A31" t="s">
        <v>30</v>
      </c>
      <c r="B31">
        <v>20</v>
      </c>
      <c r="C31">
        <v>221964</v>
      </c>
      <c r="D31">
        <v>3151821</v>
      </c>
      <c r="E31">
        <v>83</v>
      </c>
      <c r="F31">
        <v>15.8971</v>
      </c>
      <c r="G31">
        <v>0.11169999999999999</v>
      </c>
      <c r="H31">
        <v>23.526</v>
      </c>
      <c r="I31">
        <v>0.1331</v>
      </c>
      <c r="J31">
        <v>1.1376999999999999</v>
      </c>
      <c r="K31">
        <v>0.1298</v>
      </c>
      <c r="L31">
        <v>19.3</v>
      </c>
      <c r="M31">
        <v>8518133.6999999993</v>
      </c>
      <c r="N31">
        <v>17658.04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LaPalmaData_Expanded_n10_Combin</vt:lpstr>
      <vt:lpstr>Presentation_RawData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dennett</dc:creator>
  <cp:lastModifiedBy>joshua dennett</cp:lastModifiedBy>
  <dcterms:created xsi:type="dcterms:W3CDTF">2026-02-17T15:28:18Z</dcterms:created>
  <dcterms:modified xsi:type="dcterms:W3CDTF">2026-02-25T12:58:56Z</dcterms:modified>
</cp:coreProperties>
</file>